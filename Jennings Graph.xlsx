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tenhove/Documents/05_RIVM/07_TRAININGS/2025 CCHF_PCR/14_MODULE_4/"/>
    </mc:Choice>
  </mc:AlternateContent>
  <xr:revisionPtr revIDLastSave="0" documentId="13_ncr:1_{2759901C-DDEC-024E-A16E-A6FEB15EEFB3}" xr6:coauthVersionLast="47" xr6:coauthVersionMax="47" xr10:uidLastSave="{00000000-0000-0000-0000-000000000000}"/>
  <bookViews>
    <workbookView xWindow="2340" yWindow="820" windowWidth="27540" windowHeight="15340" xr2:uid="{E36C6380-9666-4AE5-BE6C-ED1EAAD6EB2F}"/>
  </bookViews>
  <sheets>
    <sheet name="Assay 1" sheetId="1" r:id="rId1"/>
    <sheet name="Sheet2" sheetId="2" r:id="rId2"/>
    <sheet name="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I59" i="1"/>
  <c r="I60" i="1"/>
  <c r="I64" i="1"/>
  <c r="I67" i="1"/>
  <c r="I68" i="1"/>
  <c r="H58" i="1"/>
  <c r="H59" i="1"/>
  <c r="H63" i="1"/>
  <c r="H66" i="1"/>
  <c r="H67" i="1"/>
  <c r="G57" i="1"/>
  <c r="G58" i="1"/>
  <c r="G62" i="1"/>
  <c r="G65" i="1"/>
  <c r="G66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52" i="1"/>
  <c r="I52" i="1" s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1" i="1"/>
  <c r="E9" i="1"/>
  <c r="E10" i="1"/>
  <c r="E11" i="1"/>
  <c r="E12" i="1"/>
  <c r="E13" i="1"/>
  <c r="E14" i="1"/>
  <c r="E15" i="1"/>
  <c r="E16" i="1"/>
  <c r="E17" i="1"/>
  <c r="E18" i="1"/>
  <c r="E19" i="1"/>
  <c r="E20" i="1"/>
  <c r="E8" i="1"/>
  <c r="I9" i="1" s="1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E46" i="1"/>
  <c r="E47" i="1"/>
  <c r="E48" i="1"/>
  <c r="E49" i="1"/>
  <c r="E50" i="1"/>
  <c r="E51" i="1"/>
  <c r="E68" i="1"/>
  <c r="E69" i="1"/>
  <c r="G64" i="1" l="1"/>
  <c r="H65" i="1"/>
  <c r="I66" i="1"/>
  <c r="G56" i="1"/>
  <c r="H57" i="1"/>
  <c r="I58" i="1"/>
  <c r="F57" i="1"/>
  <c r="G54" i="1"/>
  <c r="H55" i="1"/>
  <c r="I56" i="1"/>
  <c r="G63" i="1"/>
  <c r="G55" i="1"/>
  <c r="H64" i="1"/>
  <c r="H56" i="1"/>
  <c r="I65" i="1"/>
  <c r="I57" i="1"/>
  <c r="G69" i="1"/>
  <c r="G61" i="1"/>
  <c r="G53" i="1"/>
  <c r="H62" i="1"/>
  <c r="H54" i="1"/>
  <c r="I63" i="1"/>
  <c r="I55" i="1"/>
  <c r="F65" i="1"/>
  <c r="K65" i="1" s="1"/>
  <c r="G68" i="1"/>
  <c r="G60" i="1"/>
  <c r="H69" i="1"/>
  <c r="H61" i="1"/>
  <c r="H53" i="1"/>
  <c r="I62" i="1"/>
  <c r="I54" i="1"/>
  <c r="F63" i="1"/>
  <c r="K63" i="1" s="1"/>
  <c r="G67" i="1"/>
  <c r="G59" i="1"/>
  <c r="H68" i="1"/>
  <c r="H60" i="1"/>
  <c r="I69" i="1"/>
  <c r="I61" i="1"/>
  <c r="I53" i="1"/>
  <c r="F55" i="1"/>
  <c r="F54" i="1"/>
  <c r="F53" i="1"/>
  <c r="F64" i="1"/>
  <c r="F56" i="1"/>
  <c r="F68" i="1"/>
  <c r="F60" i="1"/>
  <c r="G52" i="1"/>
  <c r="F52" i="1"/>
  <c r="F61" i="1"/>
  <c r="F67" i="1"/>
  <c r="K67" i="1" s="1"/>
  <c r="F59" i="1"/>
  <c r="K59" i="1" s="1"/>
  <c r="H52" i="1"/>
  <c r="F62" i="1"/>
  <c r="K62" i="1" s="1"/>
  <c r="F69" i="1"/>
  <c r="F66" i="1"/>
  <c r="K66" i="1" s="1"/>
  <c r="F58" i="1"/>
  <c r="K58" i="1" s="1"/>
  <c r="I8" i="1"/>
  <c r="G13" i="1"/>
  <c r="I29" i="1"/>
  <c r="I23" i="1"/>
  <c r="H33" i="1"/>
  <c r="F40" i="1"/>
  <c r="H9" i="1"/>
  <c r="G35" i="1"/>
  <c r="I22" i="1"/>
  <c r="G11" i="1"/>
  <c r="H8" i="1"/>
  <c r="F24" i="1"/>
  <c r="G43" i="1"/>
  <c r="G20" i="1"/>
  <c r="H34" i="1"/>
  <c r="H16" i="1"/>
  <c r="I30" i="1"/>
  <c r="F23" i="1"/>
  <c r="H10" i="1"/>
  <c r="H32" i="1"/>
  <c r="K32" i="1" s="1"/>
  <c r="F16" i="1"/>
  <c r="H26" i="1"/>
  <c r="F15" i="1"/>
  <c r="I21" i="1"/>
  <c r="F32" i="1"/>
  <c r="F14" i="1"/>
  <c r="G28" i="1"/>
  <c r="H42" i="1"/>
  <c r="H24" i="1"/>
  <c r="I38" i="1"/>
  <c r="I15" i="1"/>
  <c r="G19" i="1"/>
  <c r="F22" i="1"/>
  <c r="F39" i="1"/>
  <c r="I45" i="1"/>
  <c r="F38" i="1"/>
  <c r="I39" i="1"/>
  <c r="F31" i="1"/>
  <c r="G45" i="1"/>
  <c r="G27" i="1"/>
  <c r="H41" i="1"/>
  <c r="H18" i="1"/>
  <c r="I37" i="1"/>
  <c r="I14" i="1"/>
  <c r="G37" i="1"/>
  <c r="G36" i="1"/>
  <c r="G12" i="1"/>
  <c r="G29" i="1"/>
  <c r="H25" i="1"/>
  <c r="G8" i="1"/>
  <c r="F30" i="1"/>
  <c r="G44" i="1"/>
  <c r="G21" i="1"/>
  <c r="H40" i="1"/>
  <c r="H17" i="1"/>
  <c r="I31" i="1"/>
  <c r="I13" i="1"/>
  <c r="F8" i="1"/>
  <c r="F41" i="1"/>
  <c r="F33" i="1"/>
  <c r="F25" i="1"/>
  <c r="F17" i="1"/>
  <c r="F9" i="1"/>
  <c r="G38" i="1"/>
  <c r="G30" i="1"/>
  <c r="G22" i="1"/>
  <c r="G14" i="1"/>
  <c r="H43" i="1"/>
  <c r="H35" i="1"/>
  <c r="H27" i="1"/>
  <c r="H19" i="1"/>
  <c r="H11" i="1"/>
  <c r="I40" i="1"/>
  <c r="I32" i="1"/>
  <c r="I24" i="1"/>
  <c r="I16" i="1"/>
  <c r="F45" i="1"/>
  <c r="F37" i="1"/>
  <c r="F29" i="1"/>
  <c r="F21" i="1"/>
  <c r="F13" i="1"/>
  <c r="G42" i="1"/>
  <c r="G34" i="1"/>
  <c r="G26" i="1"/>
  <c r="G18" i="1"/>
  <c r="G10" i="1"/>
  <c r="H39" i="1"/>
  <c r="K39" i="1" s="1"/>
  <c r="H31" i="1"/>
  <c r="H23" i="1"/>
  <c r="H15" i="1"/>
  <c r="I44" i="1"/>
  <c r="I36" i="1"/>
  <c r="I28" i="1"/>
  <c r="I20" i="1"/>
  <c r="I12" i="1"/>
  <c r="F44" i="1"/>
  <c r="F36" i="1"/>
  <c r="F28" i="1"/>
  <c r="F20" i="1"/>
  <c r="F12" i="1"/>
  <c r="G41" i="1"/>
  <c r="G33" i="1"/>
  <c r="G25" i="1"/>
  <c r="G17" i="1"/>
  <c r="G9" i="1"/>
  <c r="H38" i="1"/>
  <c r="H30" i="1"/>
  <c r="H22" i="1"/>
  <c r="K22" i="1" s="1"/>
  <c r="H14" i="1"/>
  <c r="I43" i="1"/>
  <c r="I35" i="1"/>
  <c r="I27" i="1"/>
  <c r="I19" i="1"/>
  <c r="I11" i="1"/>
  <c r="F43" i="1"/>
  <c r="F35" i="1"/>
  <c r="F27" i="1"/>
  <c r="F19" i="1"/>
  <c r="F11" i="1"/>
  <c r="G40" i="1"/>
  <c r="G32" i="1"/>
  <c r="G24" i="1"/>
  <c r="G16" i="1"/>
  <c r="H45" i="1"/>
  <c r="H37" i="1"/>
  <c r="H29" i="1"/>
  <c r="H21" i="1"/>
  <c r="H13" i="1"/>
  <c r="I42" i="1"/>
  <c r="I34" i="1"/>
  <c r="I26" i="1"/>
  <c r="I18" i="1"/>
  <c r="I10" i="1"/>
  <c r="F42" i="1"/>
  <c r="F34" i="1"/>
  <c r="F26" i="1"/>
  <c r="F18" i="1"/>
  <c r="F10" i="1"/>
  <c r="G39" i="1"/>
  <c r="G31" i="1"/>
  <c r="G23" i="1"/>
  <c r="K23" i="1" s="1"/>
  <c r="G15" i="1"/>
  <c r="H44" i="1"/>
  <c r="H36" i="1"/>
  <c r="H28" i="1"/>
  <c r="H20" i="1"/>
  <c r="H12" i="1"/>
  <c r="I41" i="1"/>
  <c r="I33" i="1"/>
  <c r="I25" i="1"/>
  <c r="I17" i="1"/>
  <c r="K37" i="1" l="1"/>
  <c r="K60" i="1"/>
  <c r="K57" i="1"/>
  <c r="K41" i="1"/>
  <c r="K64" i="1"/>
  <c r="K54" i="1"/>
  <c r="K26" i="1"/>
  <c r="K27" i="1"/>
  <c r="K52" i="1"/>
  <c r="K56" i="1"/>
  <c r="K53" i="1"/>
  <c r="K55" i="1"/>
  <c r="K61" i="1"/>
  <c r="K68" i="1"/>
  <c r="K69" i="1"/>
  <c r="K38" i="1"/>
  <c r="K43" i="1"/>
  <c r="K40" i="1"/>
  <c r="K29" i="1"/>
  <c r="K45" i="1"/>
  <c r="K35" i="1"/>
  <c r="K33" i="1"/>
  <c r="K24" i="1"/>
  <c r="K28" i="1"/>
  <c r="K25" i="1"/>
  <c r="K31" i="1"/>
  <c r="K21" i="1"/>
  <c r="K36" i="1"/>
  <c r="K44" i="1"/>
  <c r="K42" i="1"/>
  <c r="K34" i="1"/>
  <c r="K30" i="1"/>
</calcChain>
</file>

<file path=xl/sharedStrings.xml><?xml version="1.0" encoding="utf-8"?>
<sst xmlns="http://schemas.openxmlformats.org/spreadsheetml/2006/main" count="150" uniqueCount="26">
  <si>
    <t>Date</t>
  </si>
  <si>
    <t>Internal ctrl</t>
  </si>
  <si>
    <t>Positive ctrl</t>
  </si>
  <si>
    <t>IC SD</t>
  </si>
  <si>
    <t>PC SD</t>
  </si>
  <si>
    <t>na</t>
  </si>
  <si>
    <t>IC batch nr</t>
  </si>
  <si>
    <t>PC batch nr</t>
  </si>
  <si>
    <t>241205062_IC</t>
  </si>
  <si>
    <t>Remark</t>
  </si>
  <si>
    <t>241206008_PC</t>
  </si>
  <si>
    <t>UCL=Ct+2SD</t>
  </si>
  <si>
    <t>LCL=Ct-2SD</t>
  </si>
  <si>
    <t>UCL=Ct+1SD</t>
  </si>
  <si>
    <t>LCL=Ct-1SD</t>
  </si>
  <si>
    <t>Testing new IC</t>
  </si>
  <si>
    <t>Run result</t>
  </si>
  <si>
    <t>Run nr</t>
  </si>
  <si>
    <t xml:space="preserve"> Calculated standard deviation from the 6 previous results from running the control.</t>
  </si>
  <si>
    <t>Recalculate the SD and Calculate the control limit</t>
  </si>
  <si>
    <t>241205063_IC</t>
  </si>
  <si>
    <t>New batch after 4 warnings</t>
  </si>
  <si>
    <t>Standard deviation calculated over 6 repeats</t>
  </si>
  <si>
    <t>High positive sample in next well</t>
  </si>
  <si>
    <t xml:space="preserve">Pipeting error? Rest of assay looks fine. </t>
  </si>
  <si>
    <t xml:space="preserve">Who ate my lunch?!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</si>
</sst>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4" fontId="1" fillId="0" borderId="0" xfId="0" applyNumberFormat="1" applyFont="1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3"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CA1A-C32B-4D90-A14F-85DE3E62A759}">
  <dimension ref="A1:K69"/>
  <sheetViews>
    <sheetView tabSelected="1" zoomScale="125" workbookViewId="0">
      <pane ySplit="1" topLeftCell="A51" activePane="bottomLeft" state="frozen"/>
      <selection pane="bottomLeft" activeCell="K66" sqref="K66"/>
    </sheetView>
  </sheetViews>
  <sheetFormatPr baseColWidth="10" defaultColWidth="8.83203125" defaultRowHeight="15" x14ac:dyDescent="0.2"/>
  <cols>
    <col min="2" max="2" width="10.5" style="1" bestFit="1" customWidth="1"/>
    <col min="3" max="3" width="13.5" style="1" customWidth="1"/>
    <col min="4" max="9" width="14.6640625" style="2" customWidth="1"/>
    <col min="10" max="10" width="30.5" customWidth="1"/>
  </cols>
  <sheetData>
    <row r="1" spans="1:11" s="7" customFormat="1" x14ac:dyDescent="0.2">
      <c r="A1" s="7" t="s">
        <v>17</v>
      </c>
      <c r="B1" s="5" t="s">
        <v>0</v>
      </c>
      <c r="C1" s="5" t="s">
        <v>6</v>
      </c>
      <c r="D1" s="6" t="s">
        <v>1</v>
      </c>
      <c r="E1" s="6" t="s">
        <v>3</v>
      </c>
      <c r="F1" s="6" t="s">
        <v>13</v>
      </c>
      <c r="G1" s="6" t="s">
        <v>11</v>
      </c>
      <c r="H1" s="6" t="s">
        <v>14</v>
      </c>
      <c r="I1" s="6" t="s">
        <v>12</v>
      </c>
      <c r="J1" s="7" t="s">
        <v>9</v>
      </c>
      <c r="K1" s="7" t="s">
        <v>16</v>
      </c>
    </row>
    <row r="2" spans="1:11" x14ac:dyDescent="0.2">
      <c r="A2">
        <v>1</v>
      </c>
      <c r="B2" s="1">
        <v>45658</v>
      </c>
      <c r="C2" s="1" t="s">
        <v>8</v>
      </c>
      <c r="D2" s="2">
        <v>32.049999999999997</v>
      </c>
      <c r="E2" s="4" t="s">
        <v>5</v>
      </c>
      <c r="F2" s="4"/>
      <c r="G2" s="4"/>
      <c r="H2" s="4"/>
      <c r="I2" s="4"/>
      <c r="J2" s="3" t="s">
        <v>15</v>
      </c>
    </row>
    <row r="3" spans="1:11" x14ac:dyDescent="0.2">
      <c r="A3">
        <v>2</v>
      </c>
      <c r="B3" s="1">
        <v>45659</v>
      </c>
      <c r="C3" s="1" t="s">
        <v>8</v>
      </c>
      <c r="D3" s="2">
        <v>28.48</v>
      </c>
      <c r="E3" s="4" t="s">
        <v>5</v>
      </c>
      <c r="F3" s="4"/>
      <c r="G3" s="4"/>
      <c r="H3" s="4"/>
      <c r="I3" s="4"/>
    </row>
    <row r="4" spans="1:11" x14ac:dyDescent="0.2">
      <c r="A4">
        <v>3</v>
      </c>
      <c r="B4" s="1">
        <v>45660</v>
      </c>
      <c r="C4" s="1" t="s">
        <v>8</v>
      </c>
      <c r="D4" s="2">
        <v>28.45</v>
      </c>
      <c r="E4" s="4" t="s">
        <v>5</v>
      </c>
      <c r="F4" s="4"/>
      <c r="G4" s="4"/>
      <c r="H4" s="4"/>
      <c r="I4" s="4"/>
    </row>
    <row r="5" spans="1:11" x14ac:dyDescent="0.2">
      <c r="A5">
        <v>4</v>
      </c>
      <c r="B5" s="1">
        <v>45663</v>
      </c>
      <c r="C5" s="1" t="s">
        <v>8</v>
      </c>
      <c r="D5" s="2">
        <v>29.56</v>
      </c>
      <c r="E5" s="4" t="s">
        <v>5</v>
      </c>
      <c r="F5" s="4"/>
      <c r="G5" s="4"/>
      <c r="H5" s="4"/>
      <c r="I5" s="4"/>
    </row>
    <row r="6" spans="1:11" x14ac:dyDescent="0.2">
      <c r="A6">
        <v>5</v>
      </c>
      <c r="B6" s="1">
        <v>45664</v>
      </c>
      <c r="C6" s="1" t="s">
        <v>8</v>
      </c>
      <c r="D6" s="2">
        <v>30.34</v>
      </c>
      <c r="E6" s="4" t="s">
        <v>5</v>
      </c>
      <c r="F6" s="4"/>
      <c r="G6" s="4"/>
      <c r="H6" s="4"/>
      <c r="I6" s="4"/>
    </row>
    <row r="7" spans="1:11" x14ac:dyDescent="0.2">
      <c r="A7">
        <v>6</v>
      </c>
      <c r="B7" s="1">
        <v>45665</v>
      </c>
      <c r="C7" s="1" t="s">
        <v>8</v>
      </c>
      <c r="D7" s="2">
        <v>31.53</v>
      </c>
      <c r="E7" s="4" t="s">
        <v>5</v>
      </c>
      <c r="F7" s="4"/>
      <c r="G7" s="4"/>
      <c r="H7" s="4"/>
      <c r="I7" s="4"/>
    </row>
    <row r="8" spans="1:11" x14ac:dyDescent="0.2">
      <c r="A8">
        <v>7</v>
      </c>
      <c r="B8" s="1">
        <v>45666</v>
      </c>
      <c r="C8" s="1" t="s">
        <v>8</v>
      </c>
      <c r="D8" s="2">
        <v>28.44</v>
      </c>
      <c r="E8" s="2">
        <f t="shared" ref="E8:E20" si="0">_xlfn.STDEV.S($D$2:$D$7)</f>
        <v>1.5190446559159034</v>
      </c>
      <c r="F8" s="4">
        <f t="shared" ref="F8:F45" si="1">AVERAGE($D$2:$D$7)+1*$E$8</f>
        <v>31.587377989249234</v>
      </c>
      <c r="G8" s="4">
        <f t="shared" ref="G8:G45" si="2">AVERAGE($D$2:$D$7)+2*$E$8</f>
        <v>33.106422645165139</v>
      </c>
      <c r="H8" s="4">
        <f t="shared" ref="H8:H45" si="3">AVERAGE($D$2:$D$7)-1*$E$8</f>
        <v>28.549288677417429</v>
      </c>
      <c r="I8" s="4">
        <f t="shared" ref="I8:I45" si="4">AVERAGE($D$2:$D$7)-2*$E$8</f>
        <v>27.030244021501524</v>
      </c>
      <c r="J8" t="s">
        <v>18</v>
      </c>
      <c r="K8" t="str">
        <f t="shared" ref="K8:K20" si="5">IF(AND(D8&lt;=F8, D8&gt;=H8), "Passed", IF(OR(AND(D8&gt;=F8, D8&lt;G8), AND(D8&lt;H8, D8&gt;=I8)), "Warning", IF(OR(D8&lt;I8, D8&gt;F8), "Failed", "")))</f>
        <v>Warning</v>
      </c>
    </row>
    <row r="9" spans="1:11" x14ac:dyDescent="0.2">
      <c r="A9">
        <v>8</v>
      </c>
      <c r="B9" s="1">
        <v>45667</v>
      </c>
      <c r="C9" s="1" t="s">
        <v>8</v>
      </c>
      <c r="D9" s="2">
        <v>28.64</v>
      </c>
      <c r="E9" s="2">
        <f t="shared" si="0"/>
        <v>1.5190446559159034</v>
      </c>
      <c r="F9" s="4">
        <f t="shared" si="1"/>
        <v>31.587377989249234</v>
      </c>
      <c r="G9" s="4">
        <f t="shared" si="2"/>
        <v>33.106422645165139</v>
      </c>
      <c r="H9" s="4">
        <f t="shared" si="3"/>
        <v>28.549288677417429</v>
      </c>
      <c r="I9" s="4">
        <f t="shared" si="4"/>
        <v>27.030244021501524</v>
      </c>
      <c r="K9" t="str">
        <f t="shared" si="5"/>
        <v>Passed</v>
      </c>
    </row>
    <row r="10" spans="1:11" x14ac:dyDescent="0.2">
      <c r="A10">
        <v>9</v>
      </c>
      <c r="B10" s="1">
        <v>45670</v>
      </c>
      <c r="C10" s="1" t="s">
        <v>8</v>
      </c>
      <c r="D10" s="2">
        <v>29.68</v>
      </c>
      <c r="E10" s="2">
        <f t="shared" si="0"/>
        <v>1.5190446559159034</v>
      </c>
      <c r="F10" s="4">
        <f t="shared" si="1"/>
        <v>31.587377989249234</v>
      </c>
      <c r="G10" s="4">
        <f t="shared" si="2"/>
        <v>33.106422645165139</v>
      </c>
      <c r="H10" s="4">
        <f t="shared" si="3"/>
        <v>28.549288677417429</v>
      </c>
      <c r="I10" s="4">
        <f t="shared" si="4"/>
        <v>27.030244021501524</v>
      </c>
      <c r="K10" t="str">
        <f t="shared" si="5"/>
        <v>Passed</v>
      </c>
    </row>
    <row r="11" spans="1:11" x14ac:dyDescent="0.2">
      <c r="A11">
        <v>10</v>
      </c>
      <c r="B11" s="1">
        <v>45671</v>
      </c>
      <c r="C11" s="1" t="s">
        <v>8</v>
      </c>
      <c r="D11" s="2">
        <v>28.52</v>
      </c>
      <c r="E11" s="2">
        <f t="shared" si="0"/>
        <v>1.5190446559159034</v>
      </c>
      <c r="F11" s="4">
        <f t="shared" si="1"/>
        <v>31.587377989249234</v>
      </c>
      <c r="G11" s="4">
        <f t="shared" si="2"/>
        <v>33.106422645165139</v>
      </c>
      <c r="H11" s="4">
        <f t="shared" si="3"/>
        <v>28.549288677417429</v>
      </c>
      <c r="I11" s="4">
        <f t="shared" si="4"/>
        <v>27.030244021501524</v>
      </c>
      <c r="K11" t="str">
        <f t="shared" si="5"/>
        <v>Warning</v>
      </c>
    </row>
    <row r="12" spans="1:11" x14ac:dyDescent="0.2">
      <c r="A12">
        <v>11</v>
      </c>
      <c r="B12" s="1">
        <v>45672</v>
      </c>
      <c r="C12" s="1" t="s">
        <v>8</v>
      </c>
      <c r="D12" s="2">
        <v>29.99</v>
      </c>
      <c r="E12" s="2">
        <f t="shared" si="0"/>
        <v>1.5190446559159034</v>
      </c>
      <c r="F12" s="4">
        <f t="shared" si="1"/>
        <v>31.587377989249234</v>
      </c>
      <c r="G12" s="4">
        <f t="shared" si="2"/>
        <v>33.106422645165139</v>
      </c>
      <c r="H12" s="4">
        <f t="shared" si="3"/>
        <v>28.549288677417429</v>
      </c>
      <c r="I12" s="4">
        <f t="shared" si="4"/>
        <v>27.030244021501524</v>
      </c>
      <c r="K12" t="str">
        <f t="shared" si="5"/>
        <v>Passed</v>
      </c>
    </row>
    <row r="13" spans="1:11" x14ac:dyDescent="0.2">
      <c r="A13">
        <v>12</v>
      </c>
      <c r="B13" s="1">
        <v>45673</v>
      </c>
      <c r="C13" s="1" t="s">
        <v>8</v>
      </c>
      <c r="D13" s="2">
        <v>30.75</v>
      </c>
      <c r="E13" s="2">
        <f t="shared" si="0"/>
        <v>1.5190446559159034</v>
      </c>
      <c r="F13" s="4">
        <f t="shared" si="1"/>
        <v>31.587377989249234</v>
      </c>
      <c r="G13" s="4">
        <f t="shared" si="2"/>
        <v>33.106422645165139</v>
      </c>
      <c r="H13" s="4">
        <f t="shared" si="3"/>
        <v>28.549288677417429</v>
      </c>
      <c r="I13" s="4">
        <f t="shared" si="4"/>
        <v>27.030244021501524</v>
      </c>
      <c r="K13" t="str">
        <f t="shared" si="5"/>
        <v>Passed</v>
      </c>
    </row>
    <row r="14" spans="1:11" x14ac:dyDescent="0.2">
      <c r="A14">
        <v>13</v>
      </c>
      <c r="B14" s="1">
        <v>45674</v>
      </c>
      <c r="C14" s="1" t="s">
        <v>8</v>
      </c>
      <c r="D14" s="2">
        <v>29.09</v>
      </c>
      <c r="E14" s="2">
        <f t="shared" si="0"/>
        <v>1.5190446559159034</v>
      </c>
      <c r="F14" s="4">
        <f t="shared" si="1"/>
        <v>31.587377989249234</v>
      </c>
      <c r="G14" s="4">
        <f t="shared" si="2"/>
        <v>33.106422645165139</v>
      </c>
      <c r="H14" s="4">
        <f t="shared" si="3"/>
        <v>28.549288677417429</v>
      </c>
      <c r="I14" s="4">
        <f t="shared" si="4"/>
        <v>27.030244021501524</v>
      </c>
      <c r="K14" t="str">
        <f t="shared" si="5"/>
        <v>Passed</v>
      </c>
    </row>
    <row r="15" spans="1:11" x14ac:dyDescent="0.2">
      <c r="A15">
        <v>14</v>
      </c>
      <c r="B15" s="1">
        <v>45677</v>
      </c>
      <c r="C15" s="1" t="s">
        <v>8</v>
      </c>
      <c r="D15" s="2">
        <v>31.39</v>
      </c>
      <c r="E15" s="2">
        <f t="shared" si="0"/>
        <v>1.5190446559159034</v>
      </c>
      <c r="F15" s="4">
        <f t="shared" si="1"/>
        <v>31.587377989249234</v>
      </c>
      <c r="G15" s="4">
        <f t="shared" si="2"/>
        <v>33.106422645165139</v>
      </c>
      <c r="H15" s="4">
        <f t="shared" si="3"/>
        <v>28.549288677417429</v>
      </c>
      <c r="I15" s="4">
        <f t="shared" si="4"/>
        <v>27.030244021501524</v>
      </c>
      <c r="K15" t="str">
        <f t="shared" si="5"/>
        <v>Passed</v>
      </c>
    </row>
    <row r="16" spans="1:11" x14ac:dyDescent="0.2">
      <c r="A16">
        <v>15</v>
      </c>
      <c r="B16" s="1">
        <v>45678</v>
      </c>
      <c r="C16" s="1" t="s">
        <v>8</v>
      </c>
      <c r="D16" s="2">
        <v>31.68</v>
      </c>
      <c r="E16" s="2">
        <f t="shared" si="0"/>
        <v>1.5190446559159034</v>
      </c>
      <c r="F16" s="4">
        <f t="shared" si="1"/>
        <v>31.587377989249234</v>
      </c>
      <c r="G16" s="4">
        <f t="shared" si="2"/>
        <v>33.106422645165139</v>
      </c>
      <c r="H16" s="4">
        <f t="shared" si="3"/>
        <v>28.549288677417429</v>
      </c>
      <c r="I16" s="4">
        <f t="shared" si="4"/>
        <v>27.030244021501524</v>
      </c>
      <c r="K16" t="str">
        <f t="shared" si="5"/>
        <v>Warning</v>
      </c>
    </row>
    <row r="17" spans="1:11" x14ac:dyDescent="0.2">
      <c r="A17">
        <v>16</v>
      </c>
      <c r="B17" s="1">
        <v>45679</v>
      </c>
      <c r="C17" s="1" t="s">
        <v>8</v>
      </c>
      <c r="D17" s="2">
        <v>31.98</v>
      </c>
      <c r="E17" s="2">
        <f t="shared" si="0"/>
        <v>1.5190446559159034</v>
      </c>
      <c r="F17" s="4">
        <f t="shared" si="1"/>
        <v>31.587377989249234</v>
      </c>
      <c r="G17" s="4">
        <f t="shared" si="2"/>
        <v>33.106422645165139</v>
      </c>
      <c r="H17" s="4">
        <f t="shared" si="3"/>
        <v>28.549288677417429</v>
      </c>
      <c r="I17" s="4">
        <f t="shared" si="4"/>
        <v>27.030244021501524</v>
      </c>
      <c r="K17" t="str">
        <f t="shared" si="5"/>
        <v>Warning</v>
      </c>
    </row>
    <row r="18" spans="1:11" x14ac:dyDescent="0.2">
      <c r="A18">
        <v>17</v>
      </c>
      <c r="B18" s="1">
        <v>45680</v>
      </c>
      <c r="C18" s="1" t="s">
        <v>8</v>
      </c>
      <c r="D18" s="2">
        <v>29.7</v>
      </c>
      <c r="E18" s="2">
        <f t="shared" si="0"/>
        <v>1.5190446559159034</v>
      </c>
      <c r="F18" s="4">
        <f t="shared" si="1"/>
        <v>31.587377989249234</v>
      </c>
      <c r="G18" s="4">
        <f t="shared" si="2"/>
        <v>33.106422645165139</v>
      </c>
      <c r="H18" s="4">
        <f t="shared" si="3"/>
        <v>28.549288677417429</v>
      </c>
      <c r="I18" s="4">
        <f t="shared" si="4"/>
        <v>27.030244021501524</v>
      </c>
      <c r="K18" t="str">
        <f t="shared" si="5"/>
        <v>Passed</v>
      </c>
    </row>
    <row r="19" spans="1:11" x14ac:dyDescent="0.2">
      <c r="A19">
        <v>18</v>
      </c>
      <c r="B19" s="1">
        <v>45681</v>
      </c>
      <c r="C19" s="1" t="s">
        <v>8</v>
      </c>
      <c r="D19" s="2">
        <v>29.86</v>
      </c>
      <c r="E19" s="2">
        <f t="shared" si="0"/>
        <v>1.5190446559159034</v>
      </c>
      <c r="F19" s="4">
        <f t="shared" si="1"/>
        <v>31.587377989249234</v>
      </c>
      <c r="G19" s="4">
        <f t="shared" si="2"/>
        <v>33.106422645165139</v>
      </c>
      <c r="H19" s="4">
        <f t="shared" si="3"/>
        <v>28.549288677417429</v>
      </c>
      <c r="I19" s="4">
        <f t="shared" si="4"/>
        <v>27.030244021501524</v>
      </c>
      <c r="K19" t="str">
        <f t="shared" si="5"/>
        <v>Passed</v>
      </c>
    </row>
    <row r="20" spans="1:11" x14ac:dyDescent="0.2">
      <c r="A20">
        <v>19</v>
      </c>
      <c r="B20" s="1">
        <v>45684</v>
      </c>
      <c r="C20" s="1" t="s">
        <v>8</v>
      </c>
      <c r="D20" s="2">
        <v>29.34</v>
      </c>
      <c r="E20" s="2">
        <f t="shared" si="0"/>
        <v>1.5190446559159034</v>
      </c>
      <c r="F20" s="4">
        <f t="shared" si="1"/>
        <v>31.587377989249234</v>
      </c>
      <c r="G20" s="4">
        <f t="shared" si="2"/>
        <v>33.106422645165139</v>
      </c>
      <c r="H20" s="4">
        <f t="shared" si="3"/>
        <v>28.549288677417429</v>
      </c>
      <c r="I20" s="4">
        <f t="shared" si="4"/>
        <v>27.030244021501524</v>
      </c>
      <c r="K20" t="str">
        <f t="shared" si="5"/>
        <v>Passed</v>
      </c>
    </row>
    <row r="21" spans="1:11" x14ac:dyDescent="0.2">
      <c r="A21">
        <v>20</v>
      </c>
      <c r="B21" s="1">
        <v>45685</v>
      </c>
      <c r="C21" s="1" t="s">
        <v>8</v>
      </c>
      <c r="D21" s="2">
        <v>29.63</v>
      </c>
      <c r="E21" s="2">
        <f t="shared" ref="E21:E45" si="6">_xlfn.STDEV.S($D$2:$D$21)</f>
        <v>1.232214523359852</v>
      </c>
      <c r="F21" s="4">
        <f t="shared" si="1"/>
        <v>31.587377989249234</v>
      </c>
      <c r="G21" s="4">
        <f t="shared" si="2"/>
        <v>33.106422645165139</v>
      </c>
      <c r="H21" s="4">
        <f t="shared" si="3"/>
        <v>28.549288677417429</v>
      </c>
      <c r="I21" s="4">
        <f t="shared" si="4"/>
        <v>27.030244021501524</v>
      </c>
      <c r="J21" t="s">
        <v>19</v>
      </c>
      <c r="K21" t="str">
        <f t="shared" ref="K21:K45" si="7">IF(AND(D21&lt;=F21, D21&gt;=H21), "Passed", IF(OR(AND(D21&gt;=F21, D21&lt;G21), AND(D21&lt;H21, D21&gt;=I21)), "Warning", IF(OR(D21&lt;I21, D21&gt;F21), "Failed", "")))</f>
        <v>Passed</v>
      </c>
    </row>
    <row r="22" spans="1:11" x14ac:dyDescent="0.2">
      <c r="A22">
        <v>21</v>
      </c>
      <c r="B22" s="1">
        <v>45686</v>
      </c>
      <c r="C22" s="1" t="s">
        <v>8</v>
      </c>
      <c r="D22" s="2">
        <v>28.08</v>
      </c>
      <c r="E22" s="2">
        <f t="shared" si="6"/>
        <v>1.232214523359852</v>
      </c>
      <c r="F22" s="4">
        <f t="shared" si="1"/>
        <v>31.587377989249234</v>
      </c>
      <c r="G22" s="4">
        <f t="shared" si="2"/>
        <v>33.106422645165139</v>
      </c>
      <c r="H22" s="4">
        <f t="shared" si="3"/>
        <v>28.549288677417429</v>
      </c>
      <c r="I22" s="4">
        <f t="shared" si="4"/>
        <v>27.030244021501524</v>
      </c>
      <c r="K22" t="str">
        <f t="shared" si="7"/>
        <v>Warning</v>
      </c>
    </row>
    <row r="23" spans="1:11" x14ac:dyDescent="0.2">
      <c r="A23">
        <v>22</v>
      </c>
      <c r="B23" s="1">
        <v>45687</v>
      </c>
      <c r="C23" s="1" t="s">
        <v>8</v>
      </c>
      <c r="D23" s="2">
        <v>28.43</v>
      </c>
      <c r="E23" s="2">
        <f t="shared" si="6"/>
        <v>1.232214523359852</v>
      </c>
      <c r="F23" s="4">
        <f t="shared" si="1"/>
        <v>31.587377989249234</v>
      </c>
      <c r="G23" s="4">
        <f t="shared" si="2"/>
        <v>33.106422645165139</v>
      </c>
      <c r="H23" s="4">
        <f t="shared" si="3"/>
        <v>28.549288677417429</v>
      </c>
      <c r="I23" s="4">
        <f t="shared" si="4"/>
        <v>27.030244021501524</v>
      </c>
      <c r="K23" t="str">
        <f t="shared" si="7"/>
        <v>Warning</v>
      </c>
    </row>
    <row r="24" spans="1:11" x14ac:dyDescent="0.2">
      <c r="A24">
        <v>23</v>
      </c>
      <c r="B24" s="1">
        <v>45688</v>
      </c>
      <c r="C24" s="1" t="s">
        <v>8</v>
      </c>
      <c r="D24" s="2">
        <v>28.69</v>
      </c>
      <c r="E24" s="2">
        <f t="shared" si="6"/>
        <v>1.232214523359852</v>
      </c>
      <c r="F24" s="4">
        <f t="shared" si="1"/>
        <v>31.587377989249234</v>
      </c>
      <c r="G24" s="4">
        <f t="shared" si="2"/>
        <v>33.106422645165139</v>
      </c>
      <c r="H24" s="4">
        <f t="shared" si="3"/>
        <v>28.549288677417429</v>
      </c>
      <c r="I24" s="4">
        <f t="shared" si="4"/>
        <v>27.030244021501524</v>
      </c>
      <c r="K24" t="str">
        <f t="shared" si="7"/>
        <v>Passed</v>
      </c>
    </row>
    <row r="25" spans="1:11" x14ac:dyDescent="0.2">
      <c r="A25">
        <v>24</v>
      </c>
      <c r="B25" s="1">
        <v>45691</v>
      </c>
      <c r="C25" s="1" t="s">
        <v>8</v>
      </c>
      <c r="D25" s="2">
        <v>30.56</v>
      </c>
      <c r="E25" s="2">
        <f t="shared" si="6"/>
        <v>1.232214523359852</v>
      </c>
      <c r="F25" s="4">
        <f t="shared" si="1"/>
        <v>31.587377989249234</v>
      </c>
      <c r="G25" s="4">
        <f t="shared" si="2"/>
        <v>33.106422645165139</v>
      </c>
      <c r="H25" s="4">
        <f t="shared" si="3"/>
        <v>28.549288677417429</v>
      </c>
      <c r="I25" s="4">
        <f t="shared" si="4"/>
        <v>27.030244021501524</v>
      </c>
      <c r="K25" t="str">
        <f t="shared" si="7"/>
        <v>Passed</v>
      </c>
    </row>
    <row r="26" spans="1:11" x14ac:dyDescent="0.2">
      <c r="A26">
        <v>25</v>
      </c>
      <c r="B26" s="1">
        <v>45692</v>
      </c>
      <c r="C26" s="1" t="s">
        <v>8</v>
      </c>
      <c r="D26" s="2">
        <v>30.43</v>
      </c>
      <c r="E26" s="2">
        <f t="shared" si="6"/>
        <v>1.232214523359852</v>
      </c>
      <c r="F26" s="4">
        <f t="shared" si="1"/>
        <v>31.587377989249234</v>
      </c>
      <c r="G26" s="4">
        <f t="shared" si="2"/>
        <v>33.106422645165139</v>
      </c>
      <c r="H26" s="4">
        <f t="shared" si="3"/>
        <v>28.549288677417429</v>
      </c>
      <c r="I26" s="4">
        <f t="shared" si="4"/>
        <v>27.030244021501524</v>
      </c>
      <c r="K26" t="str">
        <f t="shared" si="7"/>
        <v>Passed</v>
      </c>
    </row>
    <row r="27" spans="1:11" x14ac:dyDescent="0.2">
      <c r="A27">
        <v>26</v>
      </c>
      <c r="B27" s="1">
        <v>45693</v>
      </c>
      <c r="C27" s="1" t="s">
        <v>8</v>
      </c>
      <c r="D27" s="2">
        <v>20</v>
      </c>
      <c r="E27" s="2">
        <f t="shared" si="6"/>
        <v>1.232214523359852</v>
      </c>
      <c r="F27" s="4">
        <f t="shared" si="1"/>
        <v>31.587377989249234</v>
      </c>
      <c r="G27" s="4">
        <f t="shared" si="2"/>
        <v>33.106422645165139</v>
      </c>
      <c r="H27" s="4">
        <f t="shared" si="3"/>
        <v>28.549288677417429</v>
      </c>
      <c r="I27" s="4">
        <f t="shared" si="4"/>
        <v>27.030244021501524</v>
      </c>
      <c r="J27" t="s">
        <v>23</v>
      </c>
      <c r="K27" t="str">
        <f t="shared" si="7"/>
        <v>Failed</v>
      </c>
    </row>
    <row r="28" spans="1:11" x14ac:dyDescent="0.2">
      <c r="A28">
        <v>27</v>
      </c>
      <c r="B28" s="1">
        <v>45694</v>
      </c>
      <c r="C28" s="1" t="s">
        <v>8</v>
      </c>
      <c r="D28" s="2">
        <v>29.72</v>
      </c>
      <c r="E28" s="2">
        <f t="shared" si="6"/>
        <v>1.232214523359852</v>
      </c>
      <c r="F28" s="4">
        <f t="shared" si="1"/>
        <v>31.587377989249234</v>
      </c>
      <c r="G28" s="4">
        <f t="shared" si="2"/>
        <v>33.106422645165139</v>
      </c>
      <c r="H28" s="4">
        <f t="shared" si="3"/>
        <v>28.549288677417429</v>
      </c>
      <c r="I28" s="4">
        <f t="shared" si="4"/>
        <v>27.030244021501524</v>
      </c>
      <c r="K28" t="str">
        <f t="shared" si="7"/>
        <v>Passed</v>
      </c>
    </row>
    <row r="29" spans="1:11" x14ac:dyDescent="0.2">
      <c r="A29">
        <v>28</v>
      </c>
      <c r="B29" s="1">
        <v>45695</v>
      </c>
      <c r="C29" s="1" t="s">
        <v>8</v>
      </c>
      <c r="D29" s="2">
        <v>28.12</v>
      </c>
      <c r="E29" s="2">
        <f t="shared" si="6"/>
        <v>1.232214523359852</v>
      </c>
      <c r="F29" s="4">
        <f t="shared" si="1"/>
        <v>31.587377989249234</v>
      </c>
      <c r="G29" s="4">
        <f t="shared" si="2"/>
        <v>33.106422645165139</v>
      </c>
      <c r="H29" s="4">
        <f t="shared" si="3"/>
        <v>28.549288677417429</v>
      </c>
      <c r="I29" s="4">
        <f t="shared" si="4"/>
        <v>27.030244021501524</v>
      </c>
      <c r="K29" t="str">
        <f t="shared" si="7"/>
        <v>Warning</v>
      </c>
    </row>
    <row r="30" spans="1:11" x14ac:dyDescent="0.2">
      <c r="A30">
        <v>29</v>
      </c>
      <c r="B30" s="1">
        <v>45698</v>
      </c>
      <c r="C30" s="1" t="s">
        <v>8</v>
      </c>
      <c r="D30" s="2">
        <v>31.3</v>
      </c>
      <c r="E30" s="2">
        <f t="shared" si="6"/>
        <v>1.232214523359852</v>
      </c>
      <c r="F30" s="4">
        <f t="shared" si="1"/>
        <v>31.587377989249234</v>
      </c>
      <c r="G30" s="4">
        <f t="shared" si="2"/>
        <v>33.106422645165139</v>
      </c>
      <c r="H30" s="4">
        <f t="shared" si="3"/>
        <v>28.549288677417429</v>
      </c>
      <c r="I30" s="4">
        <f t="shared" si="4"/>
        <v>27.030244021501524</v>
      </c>
      <c r="K30" t="str">
        <f t="shared" si="7"/>
        <v>Passed</v>
      </c>
    </row>
    <row r="31" spans="1:11" x14ac:dyDescent="0.2">
      <c r="A31">
        <v>30</v>
      </c>
      <c r="B31" s="1">
        <v>45699</v>
      </c>
      <c r="C31" s="1" t="s">
        <v>8</v>
      </c>
      <c r="D31" s="2">
        <v>28.53</v>
      </c>
      <c r="E31" s="2">
        <f t="shared" si="6"/>
        <v>1.232214523359852</v>
      </c>
      <c r="F31" s="4">
        <f t="shared" si="1"/>
        <v>31.587377989249234</v>
      </c>
      <c r="G31" s="4">
        <f t="shared" si="2"/>
        <v>33.106422645165139</v>
      </c>
      <c r="H31" s="4">
        <f t="shared" si="3"/>
        <v>28.549288677417429</v>
      </c>
      <c r="I31" s="4">
        <f t="shared" si="4"/>
        <v>27.030244021501524</v>
      </c>
      <c r="K31" t="str">
        <f t="shared" si="7"/>
        <v>Warning</v>
      </c>
    </row>
    <row r="32" spans="1:11" x14ac:dyDescent="0.2">
      <c r="A32">
        <v>31</v>
      </c>
      <c r="B32" s="1">
        <v>45700</v>
      </c>
      <c r="C32" s="1" t="s">
        <v>8</v>
      </c>
      <c r="D32" s="2">
        <v>28.33</v>
      </c>
      <c r="E32" s="2">
        <f t="shared" si="6"/>
        <v>1.232214523359852</v>
      </c>
      <c r="F32" s="4">
        <f t="shared" si="1"/>
        <v>31.587377989249234</v>
      </c>
      <c r="G32" s="4">
        <f t="shared" si="2"/>
        <v>33.106422645165139</v>
      </c>
      <c r="H32" s="4">
        <f t="shared" si="3"/>
        <v>28.549288677417429</v>
      </c>
      <c r="I32" s="4">
        <f t="shared" si="4"/>
        <v>27.030244021501524</v>
      </c>
      <c r="K32" t="str">
        <f t="shared" si="7"/>
        <v>Warning</v>
      </c>
    </row>
    <row r="33" spans="1:11" x14ac:dyDescent="0.2">
      <c r="A33">
        <v>32</v>
      </c>
      <c r="B33" s="1">
        <v>45701</v>
      </c>
      <c r="C33" s="1" t="s">
        <v>8</v>
      </c>
      <c r="D33" s="2">
        <v>30.32</v>
      </c>
      <c r="E33" s="2">
        <f t="shared" si="6"/>
        <v>1.232214523359852</v>
      </c>
      <c r="F33" s="4">
        <f t="shared" si="1"/>
        <v>31.587377989249234</v>
      </c>
      <c r="G33" s="4">
        <f t="shared" si="2"/>
        <v>33.106422645165139</v>
      </c>
      <c r="H33" s="4">
        <f t="shared" si="3"/>
        <v>28.549288677417429</v>
      </c>
      <c r="I33" s="4">
        <f t="shared" si="4"/>
        <v>27.030244021501524</v>
      </c>
      <c r="K33" t="str">
        <f t="shared" si="7"/>
        <v>Passed</v>
      </c>
    </row>
    <row r="34" spans="1:11" x14ac:dyDescent="0.2">
      <c r="A34">
        <v>33</v>
      </c>
      <c r="B34" s="1">
        <v>45702</v>
      </c>
      <c r="C34" s="1" t="s">
        <v>8</v>
      </c>
      <c r="D34" s="2">
        <v>29.2</v>
      </c>
      <c r="E34" s="2">
        <f t="shared" si="6"/>
        <v>1.232214523359852</v>
      </c>
      <c r="F34" s="4">
        <f t="shared" si="1"/>
        <v>31.587377989249234</v>
      </c>
      <c r="G34" s="4">
        <f t="shared" si="2"/>
        <v>33.106422645165139</v>
      </c>
      <c r="H34" s="4">
        <f t="shared" si="3"/>
        <v>28.549288677417429</v>
      </c>
      <c r="I34" s="4">
        <f t="shared" si="4"/>
        <v>27.030244021501524</v>
      </c>
      <c r="K34" t="str">
        <f t="shared" si="7"/>
        <v>Passed</v>
      </c>
    </row>
    <row r="35" spans="1:11" x14ac:dyDescent="0.2">
      <c r="A35">
        <v>34</v>
      </c>
      <c r="B35" s="1">
        <v>45705</v>
      </c>
      <c r="C35" s="1" t="s">
        <v>8</v>
      </c>
      <c r="D35" s="2">
        <v>31</v>
      </c>
      <c r="E35" s="2">
        <f t="shared" si="6"/>
        <v>1.232214523359852</v>
      </c>
      <c r="F35" s="4">
        <f t="shared" si="1"/>
        <v>31.587377989249234</v>
      </c>
      <c r="G35" s="4">
        <f t="shared" si="2"/>
        <v>33.106422645165139</v>
      </c>
      <c r="H35" s="4">
        <f t="shared" si="3"/>
        <v>28.549288677417429</v>
      </c>
      <c r="I35" s="4">
        <f t="shared" si="4"/>
        <v>27.030244021501524</v>
      </c>
      <c r="K35" t="str">
        <f t="shared" si="7"/>
        <v>Passed</v>
      </c>
    </row>
    <row r="36" spans="1:11" x14ac:dyDescent="0.2">
      <c r="A36">
        <v>35</v>
      </c>
      <c r="B36" s="1">
        <v>45706</v>
      </c>
      <c r="C36" s="1" t="s">
        <v>8</v>
      </c>
      <c r="D36" s="2">
        <v>28.31</v>
      </c>
      <c r="E36" s="2">
        <f t="shared" si="6"/>
        <v>1.232214523359852</v>
      </c>
      <c r="F36" s="4">
        <f t="shared" si="1"/>
        <v>31.587377989249234</v>
      </c>
      <c r="G36" s="4">
        <f t="shared" si="2"/>
        <v>33.106422645165139</v>
      </c>
      <c r="H36" s="4">
        <f t="shared" si="3"/>
        <v>28.549288677417429</v>
      </c>
      <c r="I36" s="4">
        <f t="shared" si="4"/>
        <v>27.030244021501524</v>
      </c>
      <c r="K36" t="str">
        <f t="shared" si="7"/>
        <v>Warning</v>
      </c>
    </row>
    <row r="37" spans="1:11" x14ac:dyDescent="0.2">
      <c r="A37">
        <v>36</v>
      </c>
      <c r="B37" s="1">
        <v>45707</v>
      </c>
      <c r="C37" s="1" t="s">
        <v>8</v>
      </c>
      <c r="D37" s="2">
        <v>29.33</v>
      </c>
      <c r="E37" s="2">
        <f t="shared" si="6"/>
        <v>1.232214523359852</v>
      </c>
      <c r="F37" s="4">
        <f t="shared" si="1"/>
        <v>31.587377989249234</v>
      </c>
      <c r="G37" s="4">
        <f t="shared" si="2"/>
        <v>33.106422645165139</v>
      </c>
      <c r="H37" s="4">
        <f t="shared" si="3"/>
        <v>28.549288677417429</v>
      </c>
      <c r="I37" s="4">
        <f t="shared" si="4"/>
        <v>27.030244021501524</v>
      </c>
      <c r="K37" t="str">
        <f t="shared" si="7"/>
        <v>Passed</v>
      </c>
    </row>
    <row r="38" spans="1:11" x14ac:dyDescent="0.2">
      <c r="A38">
        <v>37</v>
      </c>
      <c r="B38" s="1">
        <v>45708</v>
      </c>
      <c r="C38" s="1" t="s">
        <v>8</v>
      </c>
      <c r="D38" s="2">
        <v>29.04</v>
      </c>
      <c r="E38" s="2">
        <f t="shared" si="6"/>
        <v>1.232214523359852</v>
      </c>
      <c r="F38" s="4">
        <f t="shared" si="1"/>
        <v>31.587377989249234</v>
      </c>
      <c r="G38" s="4">
        <f t="shared" si="2"/>
        <v>33.106422645165139</v>
      </c>
      <c r="H38" s="4">
        <f t="shared" si="3"/>
        <v>28.549288677417429</v>
      </c>
      <c r="I38" s="4">
        <f t="shared" si="4"/>
        <v>27.030244021501524</v>
      </c>
      <c r="K38" t="str">
        <f t="shared" si="7"/>
        <v>Passed</v>
      </c>
    </row>
    <row r="39" spans="1:11" x14ac:dyDescent="0.2">
      <c r="A39">
        <v>38</v>
      </c>
      <c r="B39" s="1">
        <v>45709</v>
      </c>
      <c r="C39" s="1" t="s">
        <v>8</v>
      </c>
      <c r="D39" s="2">
        <v>29.84</v>
      </c>
      <c r="E39" s="2">
        <f t="shared" si="6"/>
        <v>1.232214523359852</v>
      </c>
      <c r="F39" s="4">
        <f t="shared" si="1"/>
        <v>31.587377989249234</v>
      </c>
      <c r="G39" s="4">
        <f t="shared" si="2"/>
        <v>33.106422645165139</v>
      </c>
      <c r="H39" s="4">
        <f t="shared" si="3"/>
        <v>28.549288677417429</v>
      </c>
      <c r="I39" s="4">
        <f t="shared" si="4"/>
        <v>27.030244021501524</v>
      </c>
      <c r="K39" t="str">
        <f t="shared" si="7"/>
        <v>Passed</v>
      </c>
    </row>
    <row r="40" spans="1:11" x14ac:dyDescent="0.2">
      <c r="A40">
        <v>39</v>
      </c>
      <c r="B40" s="1">
        <v>45712</v>
      </c>
      <c r="C40" s="1" t="s">
        <v>8</v>
      </c>
      <c r="D40" s="2">
        <v>29.47</v>
      </c>
      <c r="E40" s="2">
        <f t="shared" si="6"/>
        <v>1.232214523359852</v>
      </c>
      <c r="F40" s="4">
        <f t="shared" si="1"/>
        <v>31.587377989249234</v>
      </c>
      <c r="G40" s="4">
        <f t="shared" si="2"/>
        <v>33.106422645165139</v>
      </c>
      <c r="H40" s="4">
        <f t="shared" si="3"/>
        <v>28.549288677417429</v>
      </c>
      <c r="I40" s="4">
        <f t="shared" si="4"/>
        <v>27.030244021501524</v>
      </c>
      <c r="K40" t="str">
        <f t="shared" si="7"/>
        <v>Passed</v>
      </c>
    </row>
    <row r="41" spans="1:11" x14ac:dyDescent="0.2">
      <c r="A41">
        <v>40</v>
      </c>
      <c r="B41" s="1">
        <v>45713</v>
      </c>
      <c r="C41" s="1" t="s">
        <v>8</v>
      </c>
      <c r="D41" s="2">
        <v>31.7</v>
      </c>
      <c r="E41" s="2">
        <f t="shared" si="6"/>
        <v>1.232214523359852</v>
      </c>
      <c r="F41" s="4">
        <f t="shared" si="1"/>
        <v>31.587377989249234</v>
      </c>
      <c r="G41" s="4">
        <f t="shared" si="2"/>
        <v>33.106422645165139</v>
      </c>
      <c r="H41" s="4">
        <f t="shared" si="3"/>
        <v>28.549288677417429</v>
      </c>
      <c r="I41" s="4">
        <f t="shared" si="4"/>
        <v>27.030244021501524</v>
      </c>
      <c r="K41" t="str">
        <f t="shared" si="7"/>
        <v>Warning</v>
      </c>
    </row>
    <row r="42" spans="1:11" x14ac:dyDescent="0.2">
      <c r="A42">
        <v>41</v>
      </c>
      <c r="B42" s="1">
        <v>45714</v>
      </c>
      <c r="C42" s="1" t="s">
        <v>8</v>
      </c>
      <c r="D42" s="2">
        <v>31.88</v>
      </c>
      <c r="E42" s="2">
        <f t="shared" si="6"/>
        <v>1.232214523359852</v>
      </c>
      <c r="F42" s="4">
        <f t="shared" si="1"/>
        <v>31.587377989249234</v>
      </c>
      <c r="G42" s="4">
        <f t="shared" si="2"/>
        <v>33.106422645165139</v>
      </c>
      <c r="H42" s="4">
        <f t="shared" si="3"/>
        <v>28.549288677417429</v>
      </c>
      <c r="I42" s="4">
        <f t="shared" si="4"/>
        <v>27.030244021501524</v>
      </c>
      <c r="K42" t="str">
        <f t="shared" si="7"/>
        <v>Warning</v>
      </c>
    </row>
    <row r="43" spans="1:11" x14ac:dyDescent="0.2">
      <c r="A43">
        <v>42</v>
      </c>
      <c r="B43" s="1">
        <v>45715</v>
      </c>
      <c r="C43" s="1" t="s">
        <v>8</v>
      </c>
      <c r="D43" s="2">
        <v>32</v>
      </c>
      <c r="E43" s="2">
        <f t="shared" si="6"/>
        <v>1.232214523359852</v>
      </c>
      <c r="F43" s="4">
        <f t="shared" si="1"/>
        <v>31.587377989249234</v>
      </c>
      <c r="G43" s="4">
        <f t="shared" si="2"/>
        <v>33.106422645165139</v>
      </c>
      <c r="H43" s="4">
        <f t="shared" si="3"/>
        <v>28.549288677417429</v>
      </c>
      <c r="I43" s="4">
        <f t="shared" si="4"/>
        <v>27.030244021501524</v>
      </c>
      <c r="K43" t="str">
        <f t="shared" si="7"/>
        <v>Warning</v>
      </c>
    </row>
    <row r="44" spans="1:11" x14ac:dyDescent="0.2">
      <c r="A44">
        <v>43</v>
      </c>
      <c r="B44" s="1">
        <v>45716</v>
      </c>
      <c r="C44" s="1" t="s">
        <v>8</v>
      </c>
      <c r="D44" s="2">
        <v>32.24</v>
      </c>
      <c r="E44" s="2">
        <f t="shared" si="6"/>
        <v>1.232214523359852</v>
      </c>
      <c r="F44" s="4">
        <f t="shared" si="1"/>
        <v>31.587377989249234</v>
      </c>
      <c r="G44" s="4">
        <f t="shared" si="2"/>
        <v>33.106422645165139</v>
      </c>
      <c r="H44" s="4">
        <f t="shared" si="3"/>
        <v>28.549288677417429</v>
      </c>
      <c r="I44" s="4">
        <f t="shared" si="4"/>
        <v>27.030244021501524</v>
      </c>
      <c r="K44" t="str">
        <f t="shared" si="7"/>
        <v>Warning</v>
      </c>
    </row>
    <row r="45" spans="1:11" x14ac:dyDescent="0.2">
      <c r="A45">
        <v>44</v>
      </c>
      <c r="B45" s="1">
        <v>45719</v>
      </c>
      <c r="C45" s="1" t="s">
        <v>8</v>
      </c>
      <c r="D45" s="2">
        <v>32.56</v>
      </c>
      <c r="E45" s="2">
        <f t="shared" si="6"/>
        <v>1.232214523359852</v>
      </c>
      <c r="F45" s="4">
        <f t="shared" si="1"/>
        <v>31.587377989249234</v>
      </c>
      <c r="G45" s="4">
        <f t="shared" si="2"/>
        <v>33.106422645165139</v>
      </c>
      <c r="H45" s="4">
        <f t="shared" si="3"/>
        <v>28.549288677417429</v>
      </c>
      <c r="I45" s="4">
        <f t="shared" si="4"/>
        <v>27.030244021501524</v>
      </c>
      <c r="K45" t="str">
        <f t="shared" si="7"/>
        <v>Warning</v>
      </c>
    </row>
    <row r="46" spans="1:11" x14ac:dyDescent="0.2">
      <c r="A46">
        <v>45</v>
      </c>
      <c r="B46" s="1">
        <v>45720</v>
      </c>
      <c r="C46" s="1" t="s">
        <v>20</v>
      </c>
      <c r="D46" s="2">
        <v>28.98</v>
      </c>
      <c r="E46" s="2">
        <f t="shared" ref="E46:E51" si="8">_xlfn.STDEV.S(D36:D45)</f>
        <v>1.5801198969979753</v>
      </c>
      <c r="J46" t="s">
        <v>21</v>
      </c>
    </row>
    <row r="47" spans="1:11" x14ac:dyDescent="0.2">
      <c r="A47">
        <v>46</v>
      </c>
      <c r="B47" s="1">
        <v>45721</v>
      </c>
      <c r="C47" s="1" t="s">
        <v>20</v>
      </c>
      <c r="D47" s="2">
        <v>29.74</v>
      </c>
      <c r="E47" s="2">
        <f t="shared" si="8"/>
        <v>1.4816222340544323</v>
      </c>
    </row>
    <row r="48" spans="1:11" x14ac:dyDescent="0.2">
      <c r="A48">
        <v>47</v>
      </c>
      <c r="B48" s="1">
        <v>45722</v>
      </c>
      <c r="C48" s="1" t="s">
        <v>20</v>
      </c>
      <c r="D48" s="2">
        <v>31.78</v>
      </c>
      <c r="E48" s="2">
        <f t="shared" si="8"/>
        <v>1.4445856768560943</v>
      </c>
    </row>
    <row r="49" spans="1:11" x14ac:dyDescent="0.2">
      <c r="A49">
        <v>48</v>
      </c>
      <c r="B49" s="1">
        <v>45723</v>
      </c>
      <c r="C49" s="1" t="s">
        <v>20</v>
      </c>
      <c r="D49" s="2">
        <v>29.71</v>
      </c>
      <c r="E49" s="2">
        <f t="shared" si="8"/>
        <v>1.3414291715264821</v>
      </c>
    </row>
    <row r="50" spans="1:11" x14ac:dyDescent="0.2">
      <c r="A50">
        <v>49</v>
      </c>
      <c r="B50" s="1">
        <v>45726</v>
      </c>
      <c r="C50" s="1" t="s">
        <v>20</v>
      </c>
      <c r="D50" s="2">
        <v>31.49</v>
      </c>
      <c r="E50" s="2">
        <f t="shared" si="8"/>
        <v>1.3546889761942496</v>
      </c>
    </row>
    <row r="51" spans="1:11" x14ac:dyDescent="0.2">
      <c r="A51">
        <v>50</v>
      </c>
      <c r="B51" s="1">
        <v>45727</v>
      </c>
      <c r="C51" s="1" t="s">
        <v>20</v>
      </c>
      <c r="D51" s="2">
        <v>28.68</v>
      </c>
      <c r="E51" s="2">
        <f t="shared" si="8"/>
        <v>1.2464866180143652</v>
      </c>
    </row>
    <row r="52" spans="1:11" x14ac:dyDescent="0.2">
      <c r="A52">
        <v>51</v>
      </c>
      <c r="B52" s="1">
        <v>45728</v>
      </c>
      <c r="C52" s="1" t="s">
        <v>20</v>
      </c>
      <c r="D52" s="2">
        <v>28.5</v>
      </c>
      <c r="E52" s="2">
        <f t="shared" ref="E52:E67" si="9">_xlfn.STDEV.S($D$46:$D$51)</f>
        <v>1.2883270806230329</v>
      </c>
      <c r="F52" s="2">
        <f t="shared" ref="F52:F69" si="10">AVERAGE($D$46:$D$51)+1*$E$52</f>
        <v>31.35166041395637</v>
      </c>
      <c r="G52" s="2">
        <f t="shared" ref="G52:G69" si="11">AVERAGE($D$46:$D$51)+2*$E$52</f>
        <v>32.639987494579401</v>
      </c>
      <c r="H52" s="2">
        <f t="shared" ref="H52:H69" si="12">AVERAGE($D$46:$D$51)-1*$E$52</f>
        <v>28.775006252710302</v>
      </c>
      <c r="I52" s="2">
        <f t="shared" ref="I52:I69" si="13">AVERAGE($D$46:$D$51)-2*$E$52</f>
        <v>27.486679172087271</v>
      </c>
      <c r="J52" t="s">
        <v>22</v>
      </c>
      <c r="K52" t="str">
        <f t="shared" ref="K52:K69" si="14">IF(AND(D52&lt;=F52, D52&gt;=H52), "Passed", IF(OR(AND(D52&gt;=F52, D52&lt;G52), AND(D52&lt;H52, D52&gt;=I52)), "Warning", IF(OR(D52&lt;I52, D52&gt;F52), "Failed", "")))</f>
        <v>Warning</v>
      </c>
    </row>
    <row r="53" spans="1:11" x14ac:dyDescent="0.2">
      <c r="A53">
        <v>52</v>
      </c>
      <c r="B53" s="1">
        <v>45729</v>
      </c>
      <c r="C53" s="1" t="s">
        <v>20</v>
      </c>
      <c r="D53" s="2">
        <v>33.5</v>
      </c>
      <c r="E53" s="2">
        <f t="shared" si="9"/>
        <v>1.2883270806230329</v>
      </c>
      <c r="F53" s="2">
        <f t="shared" si="10"/>
        <v>31.35166041395637</v>
      </c>
      <c r="G53" s="2">
        <f t="shared" si="11"/>
        <v>32.639987494579401</v>
      </c>
      <c r="H53" s="2">
        <f t="shared" si="12"/>
        <v>28.775006252710302</v>
      </c>
      <c r="I53" s="2">
        <f t="shared" si="13"/>
        <v>27.486679172087271</v>
      </c>
      <c r="J53" t="s">
        <v>24</v>
      </c>
      <c r="K53" t="str">
        <f t="shared" si="14"/>
        <v>Failed</v>
      </c>
    </row>
    <row r="54" spans="1:11" x14ac:dyDescent="0.2">
      <c r="A54">
        <v>53</v>
      </c>
      <c r="B54" s="1">
        <v>45730</v>
      </c>
      <c r="C54" s="1" t="s">
        <v>20</v>
      </c>
      <c r="D54" s="2">
        <v>30.19</v>
      </c>
      <c r="E54" s="2">
        <f t="shared" si="9"/>
        <v>1.2883270806230329</v>
      </c>
      <c r="F54" s="2">
        <f t="shared" si="10"/>
        <v>31.35166041395637</v>
      </c>
      <c r="G54" s="2">
        <f t="shared" si="11"/>
        <v>32.639987494579401</v>
      </c>
      <c r="H54" s="2">
        <f t="shared" si="12"/>
        <v>28.775006252710302</v>
      </c>
      <c r="I54" s="2">
        <f t="shared" si="13"/>
        <v>27.486679172087271</v>
      </c>
      <c r="K54" t="str">
        <f t="shared" si="14"/>
        <v>Passed</v>
      </c>
    </row>
    <row r="55" spans="1:11" x14ac:dyDescent="0.2">
      <c r="A55">
        <v>54</v>
      </c>
      <c r="B55" s="1">
        <v>45733</v>
      </c>
      <c r="C55" s="1" t="s">
        <v>20</v>
      </c>
      <c r="D55" s="2">
        <v>31.51</v>
      </c>
      <c r="E55" s="2">
        <f t="shared" si="9"/>
        <v>1.2883270806230329</v>
      </c>
      <c r="F55" s="2">
        <f t="shared" si="10"/>
        <v>31.35166041395637</v>
      </c>
      <c r="G55" s="2">
        <f t="shared" si="11"/>
        <v>32.639987494579401</v>
      </c>
      <c r="H55" s="2">
        <f t="shared" si="12"/>
        <v>28.775006252710302</v>
      </c>
      <c r="I55" s="2">
        <f t="shared" si="13"/>
        <v>27.486679172087271</v>
      </c>
      <c r="K55" t="str">
        <f t="shared" si="14"/>
        <v>Warning</v>
      </c>
    </row>
    <row r="56" spans="1:11" x14ac:dyDescent="0.2">
      <c r="A56">
        <v>55</v>
      </c>
      <c r="B56" s="1">
        <v>45734</v>
      </c>
      <c r="C56" s="1" t="s">
        <v>20</v>
      </c>
      <c r="D56" s="2">
        <v>29.88</v>
      </c>
      <c r="E56" s="2">
        <f t="shared" si="9"/>
        <v>1.2883270806230329</v>
      </c>
      <c r="F56" s="2">
        <f t="shared" si="10"/>
        <v>31.35166041395637</v>
      </c>
      <c r="G56" s="2">
        <f t="shared" si="11"/>
        <v>32.639987494579401</v>
      </c>
      <c r="H56" s="2">
        <f t="shared" si="12"/>
        <v>28.775006252710302</v>
      </c>
      <c r="I56" s="2">
        <f t="shared" si="13"/>
        <v>27.486679172087271</v>
      </c>
      <c r="K56" t="str">
        <f t="shared" si="14"/>
        <v>Passed</v>
      </c>
    </row>
    <row r="57" spans="1:11" x14ac:dyDescent="0.2">
      <c r="A57">
        <v>56</v>
      </c>
      <c r="B57" s="1">
        <v>45735</v>
      </c>
      <c r="C57" s="1" t="s">
        <v>20</v>
      </c>
      <c r="D57" s="2">
        <v>29.42</v>
      </c>
      <c r="E57" s="2">
        <f t="shared" si="9"/>
        <v>1.2883270806230329</v>
      </c>
      <c r="F57" s="2">
        <f t="shared" si="10"/>
        <v>31.35166041395637</v>
      </c>
      <c r="G57" s="2">
        <f t="shared" si="11"/>
        <v>32.639987494579401</v>
      </c>
      <c r="H57" s="2">
        <f t="shared" si="12"/>
        <v>28.775006252710302</v>
      </c>
      <c r="I57" s="2">
        <f t="shared" si="13"/>
        <v>27.486679172087271</v>
      </c>
      <c r="K57" t="str">
        <f t="shared" si="14"/>
        <v>Passed</v>
      </c>
    </row>
    <row r="58" spans="1:11" x14ac:dyDescent="0.2">
      <c r="A58">
        <v>57</v>
      </c>
      <c r="B58" s="1">
        <v>45736</v>
      </c>
      <c r="C58" s="1" t="s">
        <v>20</v>
      </c>
      <c r="D58" s="2">
        <v>29.57</v>
      </c>
      <c r="E58" s="2">
        <f t="shared" si="9"/>
        <v>1.2883270806230329</v>
      </c>
      <c r="F58" s="2">
        <f t="shared" si="10"/>
        <v>31.35166041395637</v>
      </c>
      <c r="G58" s="2">
        <f t="shared" si="11"/>
        <v>32.639987494579401</v>
      </c>
      <c r="H58" s="2">
        <f t="shared" si="12"/>
        <v>28.775006252710302</v>
      </c>
      <c r="I58" s="2">
        <f t="shared" si="13"/>
        <v>27.486679172087271</v>
      </c>
      <c r="K58" t="str">
        <f t="shared" si="14"/>
        <v>Passed</v>
      </c>
    </row>
    <row r="59" spans="1:11" x14ac:dyDescent="0.2">
      <c r="A59">
        <v>58</v>
      </c>
      <c r="B59" s="1">
        <v>45737</v>
      </c>
      <c r="C59" s="1" t="s">
        <v>20</v>
      </c>
      <c r="D59" s="2">
        <v>29.14</v>
      </c>
      <c r="E59" s="2">
        <f t="shared" si="9"/>
        <v>1.2883270806230329</v>
      </c>
      <c r="F59" s="2">
        <f t="shared" si="10"/>
        <v>31.35166041395637</v>
      </c>
      <c r="G59" s="2">
        <f t="shared" si="11"/>
        <v>32.639987494579401</v>
      </c>
      <c r="H59" s="2">
        <f t="shared" si="12"/>
        <v>28.775006252710302</v>
      </c>
      <c r="I59" s="2">
        <f t="shared" si="13"/>
        <v>27.486679172087271</v>
      </c>
      <c r="K59" t="str">
        <f t="shared" si="14"/>
        <v>Passed</v>
      </c>
    </row>
    <row r="60" spans="1:11" x14ac:dyDescent="0.2">
      <c r="A60">
        <v>59</v>
      </c>
      <c r="B60" s="1">
        <v>45740</v>
      </c>
      <c r="C60" s="1" t="s">
        <v>20</v>
      </c>
      <c r="D60" s="2">
        <v>28.15</v>
      </c>
      <c r="E60" s="2">
        <f t="shared" si="9"/>
        <v>1.2883270806230329</v>
      </c>
      <c r="F60" s="2">
        <f t="shared" si="10"/>
        <v>31.35166041395637</v>
      </c>
      <c r="G60" s="2">
        <f t="shared" si="11"/>
        <v>32.639987494579401</v>
      </c>
      <c r="H60" s="2">
        <f t="shared" si="12"/>
        <v>28.775006252710302</v>
      </c>
      <c r="I60" s="2">
        <f t="shared" si="13"/>
        <v>27.486679172087271</v>
      </c>
      <c r="J60" t="s">
        <v>25</v>
      </c>
      <c r="K60" t="str">
        <f t="shared" si="14"/>
        <v>Warning</v>
      </c>
    </row>
    <row r="61" spans="1:11" x14ac:dyDescent="0.2">
      <c r="A61">
        <v>60</v>
      </c>
      <c r="B61" s="1">
        <v>45741</v>
      </c>
      <c r="C61" s="1" t="s">
        <v>20</v>
      </c>
      <c r="D61" s="2">
        <v>28.31</v>
      </c>
      <c r="E61" s="2">
        <f t="shared" si="9"/>
        <v>1.2883270806230329</v>
      </c>
      <c r="F61" s="2">
        <f t="shared" si="10"/>
        <v>31.35166041395637</v>
      </c>
      <c r="G61" s="2">
        <f t="shared" si="11"/>
        <v>32.639987494579401</v>
      </c>
      <c r="H61" s="2">
        <f t="shared" si="12"/>
        <v>28.775006252710302</v>
      </c>
      <c r="I61" s="2">
        <f t="shared" si="13"/>
        <v>27.486679172087271</v>
      </c>
      <c r="K61" t="str">
        <f t="shared" si="14"/>
        <v>Warning</v>
      </c>
    </row>
    <row r="62" spans="1:11" x14ac:dyDescent="0.2">
      <c r="A62">
        <v>61</v>
      </c>
      <c r="B62" s="1">
        <v>45742</v>
      </c>
      <c r="C62" s="1" t="s">
        <v>20</v>
      </c>
      <c r="D62" s="2">
        <v>30.58</v>
      </c>
      <c r="E62" s="2">
        <f t="shared" si="9"/>
        <v>1.2883270806230329</v>
      </c>
      <c r="F62" s="2">
        <f t="shared" si="10"/>
        <v>31.35166041395637</v>
      </c>
      <c r="G62" s="2">
        <f t="shared" si="11"/>
        <v>32.639987494579401</v>
      </c>
      <c r="H62" s="2">
        <f t="shared" si="12"/>
        <v>28.775006252710302</v>
      </c>
      <c r="I62" s="2">
        <f t="shared" si="13"/>
        <v>27.486679172087271</v>
      </c>
      <c r="K62" t="str">
        <f t="shared" si="14"/>
        <v>Passed</v>
      </c>
    </row>
    <row r="63" spans="1:11" x14ac:dyDescent="0.2">
      <c r="A63">
        <v>62</v>
      </c>
      <c r="B63" s="1">
        <v>45743</v>
      </c>
      <c r="C63" s="1" t="s">
        <v>20</v>
      </c>
      <c r="D63" s="2">
        <v>28.99</v>
      </c>
      <c r="E63" s="2">
        <f t="shared" si="9"/>
        <v>1.2883270806230329</v>
      </c>
      <c r="F63" s="2">
        <f t="shared" si="10"/>
        <v>31.35166041395637</v>
      </c>
      <c r="G63" s="2">
        <f t="shared" si="11"/>
        <v>32.639987494579401</v>
      </c>
      <c r="H63" s="2">
        <f t="shared" si="12"/>
        <v>28.775006252710302</v>
      </c>
      <c r="I63" s="2">
        <f t="shared" si="13"/>
        <v>27.486679172087271</v>
      </c>
      <c r="K63" t="str">
        <f t="shared" si="14"/>
        <v>Passed</v>
      </c>
    </row>
    <row r="64" spans="1:11" x14ac:dyDescent="0.2">
      <c r="A64">
        <v>63</v>
      </c>
      <c r="B64" s="1">
        <v>45744</v>
      </c>
      <c r="C64" s="1" t="s">
        <v>20</v>
      </c>
      <c r="D64" s="2">
        <v>29.2</v>
      </c>
      <c r="E64" s="2">
        <f t="shared" si="9"/>
        <v>1.2883270806230329</v>
      </c>
      <c r="F64" s="2">
        <f t="shared" si="10"/>
        <v>31.35166041395637</v>
      </c>
      <c r="G64" s="2">
        <f t="shared" si="11"/>
        <v>32.639987494579401</v>
      </c>
      <c r="H64" s="2">
        <f t="shared" si="12"/>
        <v>28.775006252710302</v>
      </c>
      <c r="I64" s="2">
        <f t="shared" si="13"/>
        <v>27.486679172087271</v>
      </c>
      <c r="K64" t="str">
        <f t="shared" si="14"/>
        <v>Passed</v>
      </c>
    </row>
    <row r="65" spans="1:11" x14ac:dyDescent="0.2">
      <c r="A65">
        <v>64</v>
      </c>
      <c r="B65" s="1">
        <v>45747</v>
      </c>
      <c r="C65" s="1" t="s">
        <v>20</v>
      </c>
      <c r="D65" s="2">
        <v>29.63</v>
      </c>
      <c r="E65" s="2">
        <f t="shared" si="9"/>
        <v>1.2883270806230329</v>
      </c>
      <c r="F65" s="2">
        <f t="shared" si="10"/>
        <v>31.35166041395637</v>
      </c>
      <c r="G65" s="2">
        <f t="shared" si="11"/>
        <v>32.639987494579401</v>
      </c>
      <c r="H65" s="2">
        <f t="shared" si="12"/>
        <v>28.775006252710302</v>
      </c>
      <c r="I65" s="2">
        <f t="shared" si="13"/>
        <v>27.486679172087271</v>
      </c>
      <c r="K65" t="str">
        <f t="shared" si="14"/>
        <v>Passed</v>
      </c>
    </row>
    <row r="66" spans="1:11" x14ac:dyDescent="0.2">
      <c r="A66">
        <v>65</v>
      </c>
      <c r="B66" s="1">
        <v>45748</v>
      </c>
      <c r="C66" s="1" t="s">
        <v>20</v>
      </c>
      <c r="D66" s="2">
        <v>28.39</v>
      </c>
      <c r="E66" s="2">
        <f t="shared" si="9"/>
        <v>1.2883270806230329</v>
      </c>
      <c r="F66" s="2">
        <f t="shared" si="10"/>
        <v>31.35166041395637</v>
      </c>
      <c r="G66" s="2">
        <f t="shared" si="11"/>
        <v>32.639987494579401</v>
      </c>
      <c r="H66" s="2">
        <f t="shared" si="12"/>
        <v>28.775006252710302</v>
      </c>
      <c r="I66" s="2">
        <f t="shared" si="13"/>
        <v>27.486679172087271</v>
      </c>
      <c r="K66" t="str">
        <f t="shared" si="14"/>
        <v>Warning</v>
      </c>
    </row>
    <row r="67" spans="1:11" x14ac:dyDescent="0.2">
      <c r="A67">
        <v>66</v>
      </c>
      <c r="B67" s="1">
        <v>45749</v>
      </c>
      <c r="C67" s="1" t="s">
        <v>20</v>
      </c>
      <c r="D67" s="2">
        <v>28.73</v>
      </c>
      <c r="E67" s="2">
        <f t="shared" si="9"/>
        <v>1.2883270806230329</v>
      </c>
      <c r="F67" s="2">
        <f t="shared" si="10"/>
        <v>31.35166041395637</v>
      </c>
      <c r="G67" s="2">
        <f t="shared" si="11"/>
        <v>32.639987494579401</v>
      </c>
      <c r="H67" s="2">
        <f t="shared" si="12"/>
        <v>28.775006252710302</v>
      </c>
      <c r="I67" s="2">
        <f t="shared" si="13"/>
        <v>27.486679172087271</v>
      </c>
      <c r="K67" t="str">
        <f t="shared" si="14"/>
        <v>Warning</v>
      </c>
    </row>
    <row r="68" spans="1:11" x14ac:dyDescent="0.2">
      <c r="A68">
        <v>67</v>
      </c>
      <c r="B68" s="1">
        <v>45750</v>
      </c>
      <c r="C68" s="1" t="s">
        <v>20</v>
      </c>
      <c r="D68" s="2">
        <v>30.53</v>
      </c>
      <c r="E68" s="2">
        <f>_xlfn.STDEV.S(D58:D67)</f>
        <v>0.73589627892341802</v>
      </c>
      <c r="F68" s="2">
        <f t="shared" si="10"/>
        <v>31.35166041395637</v>
      </c>
      <c r="G68" s="2">
        <f t="shared" si="11"/>
        <v>32.639987494579401</v>
      </c>
      <c r="H68" s="2">
        <f t="shared" si="12"/>
        <v>28.775006252710302</v>
      </c>
      <c r="I68" s="2">
        <f t="shared" si="13"/>
        <v>27.486679172087271</v>
      </c>
      <c r="K68" t="str">
        <f t="shared" si="14"/>
        <v>Passed</v>
      </c>
    </row>
    <row r="69" spans="1:11" x14ac:dyDescent="0.2">
      <c r="A69">
        <v>68</v>
      </c>
      <c r="B69" s="1">
        <v>45751</v>
      </c>
      <c r="C69" s="1" t="s">
        <v>20</v>
      </c>
      <c r="D69" s="2">
        <v>29.95</v>
      </c>
      <c r="E69" s="2">
        <f>_xlfn.STDEV.S(D59:D68)</f>
        <v>0.8605715155251964</v>
      </c>
      <c r="F69" s="2">
        <f t="shared" si="10"/>
        <v>31.35166041395637</v>
      </c>
      <c r="G69" s="2">
        <f t="shared" si="11"/>
        <v>32.639987494579401</v>
      </c>
      <c r="H69" s="2">
        <f t="shared" si="12"/>
        <v>28.775006252710302</v>
      </c>
      <c r="I69" s="2">
        <f t="shared" si="13"/>
        <v>27.486679172087271</v>
      </c>
      <c r="K69" t="str">
        <f t="shared" si="14"/>
        <v>Passed</v>
      </c>
    </row>
  </sheetData>
  <conditionalFormatting sqref="K8:K262">
    <cfRule type="containsText" dxfId="2" priority="1" operator="containsText" text="Failed">
      <formula>NOT(ISERROR(SEARCH("Failed",K8)))</formula>
    </cfRule>
    <cfRule type="containsText" dxfId="1" priority="2" operator="containsText" text="Warning">
      <formula>NOT(ISERROR(SEARCH("Warning",K8)))</formula>
    </cfRule>
    <cfRule type="containsText" dxfId="0" priority="3" operator="containsText" text="Passed">
      <formula>NOT(ISERROR(SEARCH("Passed",K8)))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8A0D-E469-457F-9328-FFE1146347F3}">
  <dimension ref="A1:C262"/>
  <sheetViews>
    <sheetView topLeftCell="A85" workbookViewId="0">
      <selection activeCell="E10" sqref="E10"/>
    </sheetView>
  </sheetViews>
  <sheetFormatPr baseColWidth="10" defaultColWidth="8.83203125" defaultRowHeight="15" x14ac:dyDescent="0.2"/>
  <cols>
    <col min="1" max="1" width="14.6640625" style="2" customWidth="1"/>
    <col min="2" max="2" width="14.5" customWidth="1"/>
    <col min="3" max="3" width="13.6640625" customWidth="1"/>
  </cols>
  <sheetData>
    <row r="1" spans="1:3" x14ac:dyDescent="0.2">
      <c r="A1" s="6" t="s">
        <v>7</v>
      </c>
      <c r="B1" s="7" t="s">
        <v>2</v>
      </c>
      <c r="C1" s="7" t="s">
        <v>4</v>
      </c>
    </row>
    <row r="2" spans="1:3" x14ac:dyDescent="0.2">
      <c r="A2" s="4" t="s">
        <v>10</v>
      </c>
      <c r="B2" s="2">
        <v>29.96</v>
      </c>
      <c r="C2" s="4" t="s">
        <v>5</v>
      </c>
    </row>
    <row r="3" spans="1:3" x14ac:dyDescent="0.2">
      <c r="A3" s="4" t="s">
        <v>10</v>
      </c>
      <c r="B3" s="2">
        <v>29.15</v>
      </c>
      <c r="C3" s="4" t="s">
        <v>5</v>
      </c>
    </row>
    <row r="4" spans="1:3" x14ac:dyDescent="0.2">
      <c r="A4" s="4" t="s">
        <v>10</v>
      </c>
      <c r="B4" s="2">
        <v>30.05</v>
      </c>
      <c r="C4" s="4" t="s">
        <v>5</v>
      </c>
    </row>
    <row r="5" spans="1:3" x14ac:dyDescent="0.2">
      <c r="A5" s="4" t="s">
        <v>10</v>
      </c>
      <c r="B5" s="2">
        <v>29.13</v>
      </c>
      <c r="C5" s="4" t="s">
        <v>5</v>
      </c>
    </row>
    <row r="6" spans="1:3" x14ac:dyDescent="0.2">
      <c r="A6" s="4" t="s">
        <v>10</v>
      </c>
      <c r="B6" s="2">
        <v>30.62</v>
      </c>
      <c r="C6" s="4" t="s">
        <v>5</v>
      </c>
    </row>
    <row r="7" spans="1:3" x14ac:dyDescent="0.2">
      <c r="A7" s="4" t="s">
        <v>10</v>
      </c>
      <c r="B7" s="2">
        <v>30.56</v>
      </c>
      <c r="C7" s="4" t="s">
        <v>5</v>
      </c>
    </row>
    <row r="8" spans="1:3" x14ac:dyDescent="0.2">
      <c r="A8" s="4" t="s">
        <v>10</v>
      </c>
      <c r="B8" s="2">
        <v>29.81</v>
      </c>
      <c r="C8" s="4" t="s">
        <v>5</v>
      </c>
    </row>
    <row r="9" spans="1:3" x14ac:dyDescent="0.2">
      <c r="A9" s="4" t="s">
        <v>10</v>
      </c>
      <c r="B9" s="2">
        <v>29.87</v>
      </c>
      <c r="C9" s="4" t="s">
        <v>5</v>
      </c>
    </row>
    <row r="10" spans="1:3" x14ac:dyDescent="0.2">
      <c r="A10" s="4" t="s">
        <v>10</v>
      </c>
      <c r="B10" s="2">
        <v>30.69</v>
      </c>
      <c r="C10" s="4" t="s">
        <v>5</v>
      </c>
    </row>
    <row r="11" spans="1:3" x14ac:dyDescent="0.2">
      <c r="A11" s="4" t="s">
        <v>10</v>
      </c>
      <c r="B11" s="2">
        <v>30.59</v>
      </c>
      <c r="C11" s="4" t="s">
        <v>5</v>
      </c>
    </row>
    <row r="12" spans="1:3" x14ac:dyDescent="0.2">
      <c r="A12" s="4" t="s">
        <v>10</v>
      </c>
      <c r="B12" s="2">
        <v>30.42</v>
      </c>
      <c r="C12" s="2">
        <f t="shared" ref="C12:C75" si="0">_xlfn.STDEV.S(B2:B11)</f>
        <v>0.58120659933547869</v>
      </c>
    </row>
    <row r="13" spans="1:3" x14ac:dyDescent="0.2">
      <c r="A13" s="4" t="s">
        <v>10</v>
      </c>
      <c r="B13" s="2">
        <v>30.65</v>
      </c>
      <c r="C13" s="2">
        <f t="shared" si="0"/>
        <v>0.5920106981015355</v>
      </c>
    </row>
    <row r="14" spans="1:3" x14ac:dyDescent="0.2">
      <c r="A14" s="4" t="s">
        <v>10</v>
      </c>
      <c r="B14" s="2">
        <v>29.33</v>
      </c>
      <c r="C14" s="2">
        <f t="shared" si="0"/>
        <v>0.51232476679023331</v>
      </c>
    </row>
    <row r="15" spans="1:3" x14ac:dyDescent="0.2">
      <c r="A15" s="4" t="s">
        <v>10</v>
      </c>
      <c r="B15" s="2">
        <v>29.83</v>
      </c>
      <c r="C15" s="2">
        <f t="shared" si="0"/>
        <v>0.58698949451133053</v>
      </c>
    </row>
    <row r="16" spans="1:3" x14ac:dyDescent="0.2">
      <c r="A16" s="4" t="s">
        <v>10</v>
      </c>
      <c r="B16" s="2">
        <v>30.37</v>
      </c>
      <c r="C16" s="2">
        <f t="shared" si="0"/>
        <v>0.48191861922481904</v>
      </c>
    </row>
    <row r="17" spans="1:3" x14ac:dyDescent="0.2">
      <c r="A17" s="4" t="s">
        <v>10</v>
      </c>
      <c r="B17" s="2">
        <v>30.68</v>
      </c>
      <c r="C17" s="2">
        <f t="shared" si="0"/>
        <v>0.46606628045566467</v>
      </c>
    </row>
    <row r="18" spans="1:3" x14ac:dyDescent="0.2">
      <c r="A18" s="4" t="s">
        <v>10</v>
      </c>
      <c r="B18" s="2">
        <v>30.36</v>
      </c>
      <c r="C18" s="2">
        <f t="shared" si="0"/>
        <v>0.4774282959542494</v>
      </c>
    </row>
    <row r="19" spans="1:3" x14ac:dyDescent="0.2">
      <c r="A19" s="4" t="s">
        <v>10</v>
      </c>
      <c r="B19" s="2">
        <v>30.06</v>
      </c>
      <c r="C19" s="2">
        <f t="shared" si="0"/>
        <v>0.4556180173981032</v>
      </c>
    </row>
    <row r="20" spans="1:3" x14ac:dyDescent="0.2">
      <c r="A20" s="4" t="s">
        <v>10</v>
      </c>
      <c r="B20" s="2">
        <v>30.48</v>
      </c>
      <c r="C20" s="2">
        <f t="shared" si="0"/>
        <v>0.44037357878157213</v>
      </c>
    </row>
    <row r="21" spans="1:3" x14ac:dyDescent="0.2">
      <c r="A21" s="4" t="s">
        <v>10</v>
      </c>
      <c r="B21" s="2">
        <v>29.53</v>
      </c>
      <c r="C21" s="2">
        <f t="shared" si="0"/>
        <v>0.42431775305253971</v>
      </c>
    </row>
    <row r="22" spans="1:3" x14ac:dyDescent="0.2">
      <c r="A22" s="4" t="s">
        <v>10</v>
      </c>
      <c r="B22" s="2">
        <v>29.3</v>
      </c>
      <c r="C22" s="2">
        <f t="shared" si="0"/>
        <v>0.46762877014429616</v>
      </c>
    </row>
    <row r="23" spans="1:3" x14ac:dyDescent="0.2">
      <c r="A23" s="4" t="s">
        <v>10</v>
      </c>
      <c r="B23" s="2">
        <v>29.53</v>
      </c>
      <c r="C23" s="2">
        <f t="shared" si="0"/>
        <v>0.53117166089065149</v>
      </c>
    </row>
    <row r="24" spans="1:3" x14ac:dyDescent="0.2">
      <c r="A24" s="4" t="s">
        <v>10</v>
      </c>
      <c r="B24" s="2">
        <v>30.53</v>
      </c>
      <c r="C24" s="2">
        <f t="shared" si="0"/>
        <v>0.51038220972130288</v>
      </c>
    </row>
    <row r="25" spans="1:3" x14ac:dyDescent="0.2">
      <c r="A25" s="4" t="s">
        <v>10</v>
      </c>
      <c r="B25" s="2">
        <v>30.85</v>
      </c>
      <c r="C25" s="2">
        <f t="shared" si="0"/>
        <v>0.48985371966196861</v>
      </c>
    </row>
    <row r="26" spans="1:3" x14ac:dyDescent="0.2">
      <c r="A26" s="4" t="s">
        <v>10</v>
      </c>
      <c r="B26" s="2">
        <v>29.62</v>
      </c>
      <c r="C26" s="2">
        <f t="shared" si="0"/>
        <v>0.53877329802679208</v>
      </c>
    </row>
    <row r="27" spans="1:3" x14ac:dyDescent="0.2">
      <c r="A27" s="4" t="s">
        <v>10</v>
      </c>
      <c r="B27" s="2">
        <v>30.3</v>
      </c>
      <c r="C27" s="2">
        <f t="shared" si="0"/>
        <v>0.55948786105389858</v>
      </c>
    </row>
    <row r="28" spans="1:3" x14ac:dyDescent="0.2">
      <c r="A28" s="4" t="s">
        <v>10</v>
      </c>
      <c r="B28" s="2">
        <v>30.5</v>
      </c>
      <c r="C28" s="2">
        <f t="shared" si="0"/>
        <v>0.52724019405032296</v>
      </c>
    </row>
    <row r="29" spans="1:3" x14ac:dyDescent="0.2">
      <c r="A29" s="4" t="s">
        <v>10</v>
      </c>
      <c r="B29" s="2">
        <v>29.52</v>
      </c>
      <c r="C29" s="2">
        <f t="shared" si="0"/>
        <v>0.53795910625251053</v>
      </c>
    </row>
    <row r="30" spans="1:3" x14ac:dyDescent="0.2">
      <c r="A30" s="4" t="s">
        <v>10</v>
      </c>
      <c r="B30" s="2">
        <v>30.61</v>
      </c>
      <c r="C30" s="2">
        <f t="shared" si="0"/>
        <v>0.56547325312520313</v>
      </c>
    </row>
    <row r="31" spans="1:3" x14ac:dyDescent="0.2">
      <c r="A31" s="4" t="s">
        <v>10</v>
      </c>
      <c r="B31" s="2">
        <v>29.76</v>
      </c>
      <c r="C31" s="2">
        <f t="shared" si="0"/>
        <v>0.57866609062951369</v>
      </c>
    </row>
    <row r="32" spans="1:3" x14ac:dyDescent="0.2">
      <c r="A32" s="4" t="s">
        <v>10</v>
      </c>
      <c r="B32" s="2">
        <v>30.03</v>
      </c>
      <c r="C32" s="2">
        <f t="shared" si="0"/>
        <v>0.56092780284097166</v>
      </c>
    </row>
    <row r="33" spans="1:3" x14ac:dyDescent="0.2">
      <c r="A33" s="4" t="s">
        <v>10</v>
      </c>
      <c r="B33" s="2">
        <v>30.48</v>
      </c>
      <c r="C33" s="2">
        <f t="shared" si="0"/>
        <v>0.49592226093299024</v>
      </c>
    </row>
    <row r="34" spans="1:3" x14ac:dyDescent="0.2">
      <c r="A34" s="4" t="s">
        <v>10</v>
      </c>
      <c r="B34" s="2">
        <v>30.99</v>
      </c>
      <c r="C34" s="2">
        <f t="shared" si="0"/>
        <v>0.45888754371608065</v>
      </c>
    </row>
    <row r="35" spans="1:3" x14ac:dyDescent="0.2">
      <c r="A35" s="4" t="s">
        <v>10</v>
      </c>
      <c r="B35" s="2">
        <v>29.53</v>
      </c>
      <c r="C35" s="2">
        <f t="shared" si="0"/>
        <v>0.51325107566050576</v>
      </c>
    </row>
    <row r="36" spans="1:3" x14ac:dyDescent="0.2">
      <c r="A36" s="4" t="s">
        <v>10</v>
      </c>
      <c r="B36" s="2">
        <v>30</v>
      </c>
      <c r="C36" s="2">
        <f t="shared" si="0"/>
        <v>0.51610076535498317</v>
      </c>
    </row>
    <row r="37" spans="1:3" x14ac:dyDescent="0.2">
      <c r="A37" s="4" t="s">
        <v>10</v>
      </c>
      <c r="B37" s="2">
        <v>29.39</v>
      </c>
      <c r="C37" s="2">
        <f t="shared" si="0"/>
        <v>0.48723254771777613</v>
      </c>
    </row>
    <row r="38" spans="1:3" x14ac:dyDescent="0.2">
      <c r="A38" s="4" t="s">
        <v>10</v>
      </c>
      <c r="B38" s="2">
        <v>30.32</v>
      </c>
      <c r="C38" s="2">
        <f t="shared" si="0"/>
        <v>0.54251369670369654</v>
      </c>
    </row>
    <row r="39" spans="1:3" x14ac:dyDescent="0.2">
      <c r="A39" s="4" t="s">
        <v>10</v>
      </c>
      <c r="B39" s="2">
        <v>29.88</v>
      </c>
      <c r="C39" s="2">
        <f t="shared" si="0"/>
        <v>0.52990670038329435</v>
      </c>
    </row>
    <row r="40" spans="1:3" x14ac:dyDescent="0.2">
      <c r="A40" s="4" t="s">
        <v>10</v>
      </c>
      <c r="B40" s="2">
        <v>29.34</v>
      </c>
      <c r="C40" s="2">
        <f t="shared" si="0"/>
        <v>0.50032100806493263</v>
      </c>
    </row>
    <row r="41" spans="1:3" x14ac:dyDescent="0.2">
      <c r="A41" s="4" t="s">
        <v>10</v>
      </c>
      <c r="B41" s="2">
        <v>30.57</v>
      </c>
      <c r="C41" s="2">
        <f t="shared" si="0"/>
        <v>0.5171030415261112</v>
      </c>
    </row>
    <row r="42" spans="1:3" x14ac:dyDescent="0.2">
      <c r="A42" s="4" t="s">
        <v>10</v>
      </c>
      <c r="B42" s="2">
        <v>29.74</v>
      </c>
      <c r="C42" s="2">
        <f t="shared" si="0"/>
        <v>0.54299682831076934</v>
      </c>
    </row>
    <row r="43" spans="1:3" x14ac:dyDescent="0.2">
      <c r="A43" s="4" t="s">
        <v>10</v>
      </c>
      <c r="B43" s="2">
        <v>30.18</v>
      </c>
      <c r="C43" s="2">
        <f t="shared" si="0"/>
        <v>0.55203059496533113</v>
      </c>
    </row>
    <row r="44" spans="1:3" x14ac:dyDescent="0.2">
      <c r="A44" s="4" t="s">
        <v>10</v>
      </c>
      <c r="B44" s="2">
        <v>29.3</v>
      </c>
      <c r="C44" s="2">
        <f t="shared" si="0"/>
        <v>0.53229482223461222</v>
      </c>
    </row>
    <row r="45" spans="1:3" x14ac:dyDescent="0.2">
      <c r="A45" s="4" t="s">
        <v>10</v>
      </c>
      <c r="B45" s="2">
        <v>30.71</v>
      </c>
      <c r="C45" s="2">
        <f t="shared" si="0"/>
        <v>0.44146850900652507</v>
      </c>
    </row>
    <row r="46" spans="1:3" x14ac:dyDescent="0.2">
      <c r="B46" s="2">
        <v>29.73</v>
      </c>
      <c r="C46" s="2">
        <f t="shared" si="0"/>
        <v>0.50673354821729433</v>
      </c>
    </row>
    <row r="47" spans="1:3" x14ac:dyDescent="0.2">
      <c r="B47" s="2">
        <v>29.51</v>
      </c>
      <c r="C47" s="2">
        <f t="shared" si="0"/>
        <v>0.51053784275887815</v>
      </c>
    </row>
    <row r="48" spans="1:3" x14ac:dyDescent="0.2">
      <c r="B48" s="2">
        <v>29.73</v>
      </c>
      <c r="C48" s="2">
        <f t="shared" si="0"/>
        <v>0.49805845261597786</v>
      </c>
    </row>
    <row r="49" spans="2:3" x14ac:dyDescent="0.2">
      <c r="B49" s="2">
        <v>30.33</v>
      </c>
      <c r="C49" s="2">
        <f t="shared" si="0"/>
        <v>0.48112022059633563</v>
      </c>
    </row>
    <row r="50" spans="2:3" x14ac:dyDescent="0.2">
      <c r="B50" s="2">
        <v>29.06</v>
      </c>
      <c r="C50" s="2">
        <f t="shared" si="0"/>
        <v>0.50281872147590778</v>
      </c>
    </row>
    <row r="51" spans="2:3" x14ac:dyDescent="0.2">
      <c r="B51" s="2">
        <v>29.96</v>
      </c>
      <c r="C51" s="2">
        <f t="shared" si="0"/>
        <v>0.54440997623318976</v>
      </c>
    </row>
    <row r="52" spans="2:3" x14ac:dyDescent="0.2">
      <c r="B52" s="2">
        <v>29.68</v>
      </c>
      <c r="C52" s="2">
        <f t="shared" si="0"/>
        <v>0.49078734928910123</v>
      </c>
    </row>
    <row r="53" spans="2:3" x14ac:dyDescent="0.2">
      <c r="B53" s="2">
        <v>30.34</v>
      </c>
      <c r="C53" s="2">
        <f t="shared" si="0"/>
        <v>0.49230636351316404</v>
      </c>
    </row>
    <row r="54" spans="2:3" x14ac:dyDescent="0.2">
      <c r="B54" s="2">
        <v>29.84</v>
      </c>
      <c r="C54" s="2">
        <f t="shared" si="0"/>
        <v>0.50770179348817657</v>
      </c>
    </row>
    <row r="55" spans="2:3" x14ac:dyDescent="0.2">
      <c r="B55" s="2">
        <v>30.91</v>
      </c>
      <c r="C55" s="2">
        <f t="shared" si="0"/>
        <v>0.47193337571219857</v>
      </c>
    </row>
    <row r="56" spans="2:3" x14ac:dyDescent="0.2">
      <c r="B56" s="2">
        <v>30.34</v>
      </c>
      <c r="C56" s="2">
        <f t="shared" si="0"/>
        <v>0.51303995945735059</v>
      </c>
    </row>
    <row r="57" spans="2:3" x14ac:dyDescent="0.2">
      <c r="B57" s="2">
        <v>29.3</v>
      </c>
      <c r="C57" s="2">
        <f t="shared" si="0"/>
        <v>0.52550504807808984</v>
      </c>
    </row>
    <row r="58" spans="2:3" x14ac:dyDescent="0.2">
      <c r="B58" s="2">
        <v>29.49</v>
      </c>
      <c r="C58" s="2">
        <f t="shared" si="0"/>
        <v>0.54957458294777628</v>
      </c>
    </row>
    <row r="59" spans="2:3" x14ac:dyDescent="0.2">
      <c r="B59" s="2">
        <v>29.23</v>
      </c>
      <c r="C59" s="2">
        <f t="shared" si="0"/>
        <v>0.56521873838561154</v>
      </c>
    </row>
    <row r="60" spans="2:3" x14ac:dyDescent="0.2">
      <c r="B60" s="2">
        <v>30.5</v>
      </c>
      <c r="C60" s="2">
        <f t="shared" si="0"/>
        <v>0.58435624598546265</v>
      </c>
    </row>
    <row r="61" spans="2:3" x14ac:dyDescent="0.2">
      <c r="B61" s="2">
        <v>30.13</v>
      </c>
      <c r="C61" s="2">
        <f t="shared" si="0"/>
        <v>0.55428532564214816</v>
      </c>
    </row>
    <row r="62" spans="2:3" x14ac:dyDescent="0.2">
      <c r="B62" s="2">
        <v>29.49</v>
      </c>
      <c r="C62" s="2">
        <f t="shared" si="0"/>
        <v>0.55692010198950437</v>
      </c>
    </row>
    <row r="63" spans="2:3" x14ac:dyDescent="0.2">
      <c r="B63" s="2">
        <v>30.21</v>
      </c>
      <c r="C63" s="2">
        <f t="shared" si="0"/>
        <v>0.57119854497169187</v>
      </c>
    </row>
    <row r="64" spans="2:3" x14ac:dyDescent="0.2">
      <c r="B64" s="2">
        <v>29.05</v>
      </c>
      <c r="C64" s="2">
        <f t="shared" si="0"/>
        <v>0.56293279646271588</v>
      </c>
    </row>
    <row r="65" spans="2:3" x14ac:dyDescent="0.2">
      <c r="B65" s="2">
        <v>29.81</v>
      </c>
      <c r="C65" s="2">
        <f t="shared" si="0"/>
        <v>0.63052447304693193</v>
      </c>
    </row>
    <row r="66" spans="2:3" x14ac:dyDescent="0.2">
      <c r="B66" s="2">
        <v>30.97</v>
      </c>
      <c r="C66" s="2">
        <f t="shared" si="0"/>
        <v>0.51294899031645103</v>
      </c>
    </row>
    <row r="67" spans="2:3" x14ac:dyDescent="0.2">
      <c r="B67" s="2">
        <v>30.55</v>
      </c>
      <c r="C67" s="2">
        <f t="shared" si="0"/>
        <v>0.62024726252250917</v>
      </c>
    </row>
    <row r="68" spans="2:3" x14ac:dyDescent="0.2">
      <c r="B68" s="2">
        <v>30.47</v>
      </c>
      <c r="C68" s="2">
        <f t="shared" si="0"/>
        <v>0.63013314289741795</v>
      </c>
    </row>
    <row r="69" spans="2:3" x14ac:dyDescent="0.2">
      <c r="B69" s="2">
        <v>29.04</v>
      </c>
      <c r="C69" s="2">
        <f t="shared" si="0"/>
        <v>0.62805608383682132</v>
      </c>
    </row>
    <row r="70" spans="2:3" x14ac:dyDescent="0.2">
      <c r="B70" s="2">
        <v>30.47</v>
      </c>
      <c r="C70" s="2">
        <f t="shared" si="0"/>
        <v>0.6575003168567044</v>
      </c>
    </row>
    <row r="71" spans="2:3" x14ac:dyDescent="0.2">
      <c r="B71" s="2">
        <v>29.4</v>
      </c>
      <c r="C71" s="2">
        <f t="shared" si="0"/>
        <v>0.6551412061532994</v>
      </c>
    </row>
    <row r="72" spans="2:3" x14ac:dyDescent="0.2">
      <c r="B72" s="2">
        <v>30.91</v>
      </c>
      <c r="C72" s="2">
        <f t="shared" si="0"/>
        <v>0.68153747757062733</v>
      </c>
    </row>
    <row r="73" spans="2:3" x14ac:dyDescent="0.2">
      <c r="B73" s="2">
        <v>29.33</v>
      </c>
      <c r="C73" s="2">
        <f t="shared" si="0"/>
        <v>0.7226617466007178</v>
      </c>
    </row>
    <row r="74" spans="2:3" x14ac:dyDescent="0.2">
      <c r="B74" s="2">
        <v>29.47</v>
      </c>
      <c r="C74" s="2">
        <f t="shared" si="0"/>
        <v>0.75882950800705051</v>
      </c>
    </row>
    <row r="75" spans="2:3" x14ac:dyDescent="0.2">
      <c r="B75" s="2">
        <v>29.05</v>
      </c>
      <c r="C75" s="2">
        <f t="shared" si="0"/>
        <v>0.71048965900676986</v>
      </c>
    </row>
    <row r="76" spans="2:3" x14ac:dyDescent="0.2">
      <c r="B76" s="2">
        <v>30.35</v>
      </c>
      <c r="C76" s="2">
        <f t="shared" ref="C76:C139" si="1">_xlfn.STDEV.S(B66:B75)</f>
        <v>0.77571758893155052</v>
      </c>
    </row>
    <row r="77" spans="2:3" x14ac:dyDescent="0.2">
      <c r="B77" s="2">
        <v>30.8</v>
      </c>
      <c r="C77" s="2">
        <f t="shared" si="1"/>
        <v>0.70841293670350858</v>
      </c>
    </row>
    <row r="78" spans="2:3" x14ac:dyDescent="0.2">
      <c r="B78" s="2">
        <v>30.17</v>
      </c>
      <c r="C78" s="2">
        <f t="shared" si="1"/>
        <v>0.73755527099857288</v>
      </c>
    </row>
    <row r="79" spans="2:3" x14ac:dyDescent="0.2">
      <c r="B79" s="2">
        <v>30.48</v>
      </c>
      <c r="C79" s="2">
        <f t="shared" si="1"/>
        <v>0.7189722603210168</v>
      </c>
    </row>
    <row r="80" spans="2:3" x14ac:dyDescent="0.2">
      <c r="B80" s="2">
        <v>29.77</v>
      </c>
      <c r="C80" s="2">
        <f t="shared" si="1"/>
        <v>0.67037385920925641</v>
      </c>
    </row>
    <row r="81" spans="2:3" x14ac:dyDescent="0.2">
      <c r="B81" s="2">
        <v>29.2</v>
      </c>
      <c r="C81" s="2">
        <f t="shared" si="1"/>
        <v>0.65725100904364508</v>
      </c>
    </row>
    <row r="82" spans="2:3" x14ac:dyDescent="0.2">
      <c r="B82" s="2">
        <v>29.84</v>
      </c>
      <c r="C82" s="2">
        <f t="shared" si="1"/>
        <v>0.67929784009339844</v>
      </c>
    </row>
    <row r="83" spans="2:3" x14ac:dyDescent="0.2">
      <c r="B83" s="2">
        <v>29.22</v>
      </c>
      <c r="C83" s="2">
        <f t="shared" si="1"/>
        <v>0.59023912291733338</v>
      </c>
    </row>
    <row r="84" spans="2:3" x14ac:dyDescent="0.2">
      <c r="B84" s="2">
        <v>30.03</v>
      </c>
      <c r="C84" s="2">
        <f t="shared" si="1"/>
        <v>0.60183515646359209</v>
      </c>
    </row>
    <row r="85" spans="2:3" x14ac:dyDescent="0.2">
      <c r="B85" s="2">
        <v>29.92</v>
      </c>
      <c r="C85" s="2">
        <f t="shared" si="1"/>
        <v>0.59003672202103996</v>
      </c>
    </row>
    <row r="86" spans="2:3" x14ac:dyDescent="0.2">
      <c r="B86" s="2">
        <v>29.86</v>
      </c>
      <c r="C86" s="2">
        <f t="shared" si="1"/>
        <v>0.51111642509314914</v>
      </c>
    </row>
    <row r="87" spans="2:3" x14ac:dyDescent="0.2">
      <c r="B87" s="2">
        <v>30.69</v>
      </c>
      <c r="C87" s="2">
        <f t="shared" si="1"/>
        <v>0.49471540640385758</v>
      </c>
    </row>
    <row r="88" spans="2:3" x14ac:dyDescent="0.2">
      <c r="B88" s="2">
        <v>30.53</v>
      </c>
      <c r="C88" s="2">
        <f t="shared" si="1"/>
        <v>0.47398546625632193</v>
      </c>
    </row>
    <row r="89" spans="2:3" x14ac:dyDescent="0.2">
      <c r="B89" s="2">
        <v>30.57</v>
      </c>
      <c r="C89" s="2">
        <f t="shared" si="1"/>
        <v>0.50772258391982428</v>
      </c>
    </row>
    <row r="90" spans="2:3" x14ac:dyDescent="0.2">
      <c r="B90" s="2">
        <v>30.46</v>
      </c>
      <c r="C90" s="2">
        <f t="shared" si="1"/>
        <v>0.51876027432931182</v>
      </c>
    </row>
    <row r="91" spans="2:3" x14ac:dyDescent="0.2">
      <c r="B91" s="2">
        <v>30.71</v>
      </c>
      <c r="C91" s="2">
        <f t="shared" si="1"/>
        <v>0.53584409009420797</v>
      </c>
    </row>
    <row r="92" spans="2:3" x14ac:dyDescent="0.2">
      <c r="B92" s="2">
        <v>29.56</v>
      </c>
      <c r="C92" s="2">
        <f t="shared" si="1"/>
        <v>0.48575370988461547</v>
      </c>
    </row>
    <row r="93" spans="2:3" x14ac:dyDescent="0.2">
      <c r="B93" s="2">
        <v>30.88</v>
      </c>
      <c r="C93" s="2">
        <f t="shared" si="1"/>
        <v>0.51491639019251434</v>
      </c>
    </row>
    <row r="94" spans="2:3" x14ac:dyDescent="0.2">
      <c r="B94" s="2">
        <v>29.36</v>
      </c>
      <c r="C94" s="2">
        <f t="shared" si="1"/>
        <v>0.44247912694021846</v>
      </c>
    </row>
    <row r="95" spans="2:3" x14ac:dyDescent="0.2">
      <c r="B95" s="2">
        <v>29.82</v>
      </c>
      <c r="C95" s="2">
        <f t="shared" si="1"/>
        <v>0.53292067368835006</v>
      </c>
    </row>
    <row r="96" spans="2:3" x14ac:dyDescent="0.2">
      <c r="B96" s="2">
        <v>30.16</v>
      </c>
      <c r="C96" s="2">
        <f t="shared" si="1"/>
        <v>0.54076489037905118</v>
      </c>
    </row>
    <row r="97" spans="2:3" x14ac:dyDescent="0.2">
      <c r="B97" s="2">
        <v>30.44</v>
      </c>
      <c r="C97" s="2">
        <f t="shared" si="1"/>
        <v>0.52519202837311529</v>
      </c>
    </row>
    <row r="98" spans="2:3" x14ac:dyDescent="0.2">
      <c r="B98" s="2">
        <v>30.02</v>
      </c>
      <c r="C98" s="2">
        <f t="shared" si="1"/>
        <v>0.50888658417721722</v>
      </c>
    </row>
    <row r="99" spans="2:3" x14ac:dyDescent="0.2">
      <c r="B99" s="2">
        <v>30.07</v>
      </c>
      <c r="C99" s="2">
        <f t="shared" si="1"/>
        <v>0.50311915973145893</v>
      </c>
    </row>
    <row r="100" spans="2:3" x14ac:dyDescent="0.2">
      <c r="B100" s="2">
        <v>29.37</v>
      </c>
      <c r="C100" s="2">
        <f t="shared" si="1"/>
        <v>0.48661643576389396</v>
      </c>
    </row>
    <row r="101" spans="2:3" x14ac:dyDescent="0.2">
      <c r="B101" s="2">
        <v>30.14</v>
      </c>
      <c r="C101" s="2">
        <f t="shared" si="1"/>
        <v>0.52918070847511289</v>
      </c>
    </row>
    <row r="102" spans="2:3" x14ac:dyDescent="0.2">
      <c r="B102" s="2">
        <v>30.43</v>
      </c>
      <c r="C102" s="2">
        <f t="shared" si="1"/>
        <v>0.47699988353131584</v>
      </c>
    </row>
    <row r="103" spans="2:3" x14ac:dyDescent="0.2">
      <c r="B103" s="2">
        <v>29.89</v>
      </c>
      <c r="C103" s="2">
        <f t="shared" si="1"/>
        <v>0.47077831536958248</v>
      </c>
    </row>
    <row r="104" spans="2:3" x14ac:dyDescent="0.2">
      <c r="B104" s="2">
        <v>30.34</v>
      </c>
      <c r="C104" s="2">
        <f t="shared" si="1"/>
        <v>0.37579545263643394</v>
      </c>
    </row>
    <row r="105" spans="2:3" x14ac:dyDescent="0.2">
      <c r="B105" s="2">
        <v>30.29</v>
      </c>
      <c r="C105" s="2">
        <f t="shared" si="1"/>
        <v>0.32313739767748589</v>
      </c>
    </row>
    <row r="106" spans="2:3" x14ac:dyDescent="0.2">
      <c r="B106" s="2">
        <v>29.43</v>
      </c>
      <c r="C106" s="2">
        <f t="shared" si="1"/>
        <v>0.31718378829245891</v>
      </c>
    </row>
    <row r="107" spans="2:3" x14ac:dyDescent="0.2">
      <c r="B107" s="2">
        <v>29.15</v>
      </c>
      <c r="C107" s="2">
        <f t="shared" si="1"/>
        <v>0.38287799042979148</v>
      </c>
    </row>
    <row r="108" spans="2:3" x14ac:dyDescent="0.2">
      <c r="B108" s="2">
        <v>29.19</v>
      </c>
      <c r="C108" s="2">
        <f t="shared" si="1"/>
        <v>0.44599576480301051</v>
      </c>
    </row>
    <row r="109" spans="2:3" x14ac:dyDescent="0.2">
      <c r="B109" s="2">
        <v>29.76</v>
      </c>
      <c r="C109" s="2">
        <f t="shared" si="1"/>
        <v>0.49806291436591277</v>
      </c>
    </row>
    <row r="110" spans="2:3" x14ac:dyDescent="0.2">
      <c r="B110" s="2">
        <v>29.91</v>
      </c>
      <c r="C110" s="2">
        <f t="shared" si="1"/>
        <v>0.49106347179701032</v>
      </c>
    </row>
    <row r="111" spans="2:3" x14ac:dyDescent="0.2">
      <c r="B111" s="2">
        <v>29.83</v>
      </c>
      <c r="C111" s="2">
        <f t="shared" si="1"/>
        <v>0.46778556340842037</v>
      </c>
    </row>
    <row r="112" spans="2:3" x14ac:dyDescent="0.2">
      <c r="B112" s="2">
        <v>30.03</v>
      </c>
      <c r="C112" s="2">
        <f t="shared" si="1"/>
        <v>0.45679560223607901</v>
      </c>
    </row>
    <row r="113" spans="2:3" x14ac:dyDescent="0.2">
      <c r="B113" s="2">
        <v>29.49</v>
      </c>
      <c r="C113" s="2">
        <f t="shared" si="1"/>
        <v>0.41305904877847405</v>
      </c>
    </row>
    <row r="114" spans="2:3" x14ac:dyDescent="0.2">
      <c r="B114" s="2">
        <v>30.17</v>
      </c>
      <c r="C114" s="2">
        <f t="shared" si="1"/>
        <v>0.420734806948246</v>
      </c>
    </row>
    <row r="115" spans="2:3" x14ac:dyDescent="0.2">
      <c r="B115" s="2">
        <v>30.12</v>
      </c>
      <c r="C115" s="2">
        <f t="shared" si="1"/>
        <v>0.39663165111557463</v>
      </c>
    </row>
    <row r="116" spans="2:3" x14ac:dyDescent="0.2">
      <c r="B116" s="2">
        <v>29.97</v>
      </c>
      <c r="C116" s="2">
        <f t="shared" si="1"/>
        <v>0.37264221744486048</v>
      </c>
    </row>
    <row r="117" spans="2:3" x14ac:dyDescent="0.2">
      <c r="B117" s="2">
        <v>30.89</v>
      </c>
      <c r="C117" s="2">
        <f t="shared" si="1"/>
        <v>0.36696351620048356</v>
      </c>
    </row>
    <row r="118" spans="2:3" x14ac:dyDescent="0.2">
      <c r="B118" s="2">
        <v>29.05</v>
      </c>
      <c r="C118" s="2">
        <f t="shared" si="1"/>
        <v>0.44808729308274564</v>
      </c>
    </row>
    <row r="119" spans="2:3" x14ac:dyDescent="0.2">
      <c r="B119" s="2">
        <v>29.55</v>
      </c>
      <c r="C119" s="2">
        <f t="shared" si="1"/>
        <v>0.47534315090375645</v>
      </c>
    </row>
    <row r="120" spans="2:3" x14ac:dyDescent="0.2">
      <c r="B120" s="2">
        <v>29.85</v>
      </c>
      <c r="C120" s="2">
        <f t="shared" si="1"/>
        <v>0.48777157677658028</v>
      </c>
    </row>
    <row r="121" spans="2:3" x14ac:dyDescent="0.2">
      <c r="B121" s="2">
        <v>30.18</v>
      </c>
      <c r="C121" s="2">
        <f t="shared" si="1"/>
        <v>0.48801753156122513</v>
      </c>
    </row>
    <row r="122" spans="2:3" x14ac:dyDescent="0.2">
      <c r="B122" s="2">
        <v>30.44</v>
      </c>
      <c r="C122" s="2">
        <f t="shared" si="1"/>
        <v>0.49533378196480371</v>
      </c>
    </row>
    <row r="123" spans="2:3" x14ac:dyDescent="0.2">
      <c r="B123" s="2">
        <v>30.92</v>
      </c>
      <c r="C123" s="2">
        <f t="shared" si="1"/>
        <v>0.52084226659005595</v>
      </c>
    </row>
    <row r="124" spans="2:3" x14ac:dyDescent="0.2">
      <c r="B124" s="2">
        <v>29.03</v>
      </c>
      <c r="C124" s="2">
        <f t="shared" si="1"/>
        <v>0.56825659305946974</v>
      </c>
    </row>
    <row r="125" spans="2:3" x14ac:dyDescent="0.2">
      <c r="B125" s="2">
        <v>30.45</v>
      </c>
      <c r="C125" s="2">
        <f t="shared" si="1"/>
        <v>0.66233593356308929</v>
      </c>
    </row>
    <row r="126" spans="2:3" x14ac:dyDescent="0.2">
      <c r="B126" s="2">
        <v>29.81</v>
      </c>
      <c r="C126" s="2">
        <f t="shared" si="1"/>
        <v>0.67703684455787838</v>
      </c>
    </row>
    <row r="127" spans="2:3" x14ac:dyDescent="0.2">
      <c r="B127" s="2">
        <v>29.94</v>
      </c>
      <c r="C127" s="2">
        <f t="shared" si="1"/>
        <v>0.68057247144509825</v>
      </c>
    </row>
    <row r="128" spans="2:3" x14ac:dyDescent="0.2">
      <c r="B128" s="2">
        <v>29.54</v>
      </c>
      <c r="C128" s="2">
        <f t="shared" si="1"/>
        <v>0.60755978215224959</v>
      </c>
    </row>
    <row r="129" spans="2:3" x14ac:dyDescent="0.2">
      <c r="B129" s="2">
        <v>30.93</v>
      </c>
      <c r="C129" s="2">
        <f t="shared" si="1"/>
        <v>0.54606572660969854</v>
      </c>
    </row>
    <row r="130" spans="2:3" x14ac:dyDescent="0.2">
      <c r="B130" s="2">
        <v>30.25</v>
      </c>
      <c r="C130" s="2">
        <f t="shared" si="1"/>
        <v>0.59960079312081571</v>
      </c>
    </row>
    <row r="131" spans="2:3" x14ac:dyDescent="0.2">
      <c r="B131" s="2">
        <v>30.53</v>
      </c>
      <c r="C131" s="2">
        <f t="shared" si="1"/>
        <v>0.59371616862680188</v>
      </c>
    </row>
    <row r="132" spans="2:3" x14ac:dyDescent="0.2">
      <c r="B132" s="2">
        <v>30.69</v>
      </c>
      <c r="C132" s="2">
        <f t="shared" si="1"/>
        <v>0.60593729048474998</v>
      </c>
    </row>
    <row r="133" spans="2:3" x14ac:dyDescent="0.2">
      <c r="B133" s="2">
        <v>30.3</v>
      </c>
      <c r="C133" s="2">
        <f t="shared" si="1"/>
        <v>0.62260117428593287</v>
      </c>
    </row>
    <row r="134" spans="2:3" x14ac:dyDescent="0.2">
      <c r="B134" s="2">
        <v>30.92</v>
      </c>
      <c r="C134" s="2">
        <f t="shared" si="1"/>
        <v>0.57281080840206067</v>
      </c>
    </row>
    <row r="135" spans="2:3" x14ac:dyDescent="0.2">
      <c r="B135" s="2">
        <v>30.04</v>
      </c>
      <c r="C135" s="2">
        <f t="shared" si="1"/>
        <v>0.46495400011422933</v>
      </c>
    </row>
    <row r="136" spans="2:3" x14ac:dyDescent="0.2">
      <c r="B136" s="2">
        <v>30.61</v>
      </c>
      <c r="C136" s="2">
        <f t="shared" si="1"/>
        <v>0.47181093200089813</v>
      </c>
    </row>
    <row r="137" spans="2:3" x14ac:dyDescent="0.2">
      <c r="B137" s="2">
        <v>29.25</v>
      </c>
      <c r="C137" s="2">
        <f t="shared" si="1"/>
        <v>0.44764197003111056</v>
      </c>
    </row>
    <row r="138" spans="2:3" x14ac:dyDescent="0.2">
      <c r="B138" s="2">
        <v>30.09</v>
      </c>
      <c r="C138" s="2">
        <f t="shared" si="1"/>
        <v>0.56097534110986891</v>
      </c>
    </row>
    <row r="139" spans="2:3" x14ac:dyDescent="0.2">
      <c r="B139" s="2">
        <v>29.98</v>
      </c>
      <c r="C139" s="2">
        <f t="shared" si="1"/>
        <v>0.50131937037293051</v>
      </c>
    </row>
    <row r="140" spans="2:3" x14ac:dyDescent="0.2">
      <c r="B140" s="2">
        <v>30.46</v>
      </c>
      <c r="C140" s="2">
        <f t="shared" ref="C140:C203" si="2">_xlfn.STDEV.S(B130:B139)</f>
        <v>0.47058356206829971</v>
      </c>
    </row>
    <row r="141" spans="2:3" x14ac:dyDescent="0.2">
      <c r="B141" s="2">
        <v>29.2</v>
      </c>
      <c r="C141" s="2">
        <f t="shared" si="2"/>
        <v>0.47445992688763783</v>
      </c>
    </row>
    <row r="142" spans="2:3" x14ac:dyDescent="0.2">
      <c r="B142" s="2">
        <v>29.52</v>
      </c>
      <c r="C142" s="2">
        <f t="shared" si="2"/>
        <v>0.57461484685154363</v>
      </c>
    </row>
    <row r="143" spans="2:3" x14ac:dyDescent="0.2">
      <c r="B143" s="2">
        <v>29.19</v>
      </c>
      <c r="C143" s="2">
        <f t="shared" si="2"/>
        <v>0.57246154650091807</v>
      </c>
    </row>
    <row r="144" spans="2:3" x14ac:dyDescent="0.2">
      <c r="B144" s="2">
        <v>30.47</v>
      </c>
      <c r="C144" s="2">
        <f t="shared" si="2"/>
        <v>0.62132832616008193</v>
      </c>
    </row>
    <row r="145" spans="2:3" x14ac:dyDescent="0.2">
      <c r="B145" s="2">
        <v>29.4</v>
      </c>
      <c r="C145" s="2">
        <f t="shared" si="2"/>
        <v>0.55398455654367185</v>
      </c>
    </row>
    <row r="146" spans="2:3" x14ac:dyDescent="0.2">
      <c r="B146" s="2">
        <v>29.16</v>
      </c>
      <c r="C146" s="2">
        <f t="shared" si="2"/>
        <v>0.57030303835378215</v>
      </c>
    </row>
    <row r="147" spans="2:3" x14ac:dyDescent="0.2">
      <c r="B147" s="2">
        <v>29.99</v>
      </c>
      <c r="C147" s="2">
        <f t="shared" si="2"/>
        <v>0.5291250639814119</v>
      </c>
    </row>
    <row r="148" spans="2:3" x14ac:dyDescent="0.2">
      <c r="B148" s="2">
        <v>29.79</v>
      </c>
      <c r="C148" s="2">
        <f t="shared" si="2"/>
        <v>0.51510948135107903</v>
      </c>
    </row>
    <row r="149" spans="2:3" x14ac:dyDescent="0.2">
      <c r="B149" s="2">
        <v>29.05</v>
      </c>
      <c r="C149" s="2">
        <f t="shared" si="2"/>
        <v>0.50140247750130262</v>
      </c>
    </row>
    <row r="150" spans="2:3" x14ac:dyDescent="0.2">
      <c r="B150" s="2">
        <v>29.1</v>
      </c>
      <c r="C150" s="2">
        <f t="shared" si="2"/>
        <v>0.53229169112850527</v>
      </c>
    </row>
    <row r="151" spans="2:3" x14ac:dyDescent="0.2">
      <c r="B151" s="2">
        <v>30.62</v>
      </c>
      <c r="C151" s="2">
        <f t="shared" si="2"/>
        <v>0.46404142535386184</v>
      </c>
    </row>
    <row r="152" spans="2:3" x14ac:dyDescent="0.2">
      <c r="B152" s="2">
        <v>30.11</v>
      </c>
      <c r="C152" s="2">
        <f t="shared" si="2"/>
        <v>0.57132302596692131</v>
      </c>
    </row>
    <row r="153" spans="2:3" x14ac:dyDescent="0.2">
      <c r="B153" s="2">
        <v>30.2</v>
      </c>
      <c r="C153" s="2">
        <f t="shared" si="2"/>
        <v>0.58900669681157991</v>
      </c>
    </row>
    <row r="154" spans="2:3" x14ac:dyDescent="0.2">
      <c r="B154" s="2">
        <v>29.65</v>
      </c>
      <c r="C154" s="2">
        <f t="shared" si="2"/>
        <v>0.58065958663881123</v>
      </c>
    </row>
    <row r="155" spans="2:3" x14ac:dyDescent="0.2">
      <c r="B155" s="2">
        <v>30.34</v>
      </c>
      <c r="C155" s="2">
        <f t="shared" si="2"/>
        <v>0.52944520228463876</v>
      </c>
    </row>
    <row r="156" spans="2:3" x14ac:dyDescent="0.2">
      <c r="B156" s="2">
        <v>29.8</v>
      </c>
      <c r="C156" s="2">
        <f t="shared" si="2"/>
        <v>0.55185444940974526</v>
      </c>
    </row>
    <row r="157" spans="2:3" x14ac:dyDescent="0.2">
      <c r="B157" s="2">
        <v>30.49</v>
      </c>
      <c r="C157" s="2">
        <f t="shared" si="2"/>
        <v>0.50432022454873715</v>
      </c>
    </row>
    <row r="158" spans="2:3" x14ac:dyDescent="0.2">
      <c r="B158" s="2">
        <v>29.82</v>
      </c>
      <c r="C158" s="2">
        <f t="shared" si="2"/>
        <v>0.54150510411054975</v>
      </c>
    </row>
    <row r="159" spans="2:3" x14ac:dyDescent="0.2">
      <c r="B159" s="2">
        <v>30.8</v>
      </c>
      <c r="C159" s="2">
        <f t="shared" si="2"/>
        <v>0.5408183100121926</v>
      </c>
    </row>
    <row r="160" spans="2:3" x14ac:dyDescent="0.2">
      <c r="B160" s="2">
        <v>30.5</v>
      </c>
      <c r="C160" s="2">
        <f t="shared" si="2"/>
        <v>0.5110566396094357</v>
      </c>
    </row>
    <row r="161" spans="2:3" x14ac:dyDescent="0.2">
      <c r="B161" s="2">
        <v>29.18</v>
      </c>
      <c r="C161" s="2">
        <f t="shared" si="2"/>
        <v>0.38502669460123895</v>
      </c>
    </row>
    <row r="162" spans="2:3" x14ac:dyDescent="0.2">
      <c r="B162" s="2">
        <v>30.85</v>
      </c>
      <c r="C162" s="2">
        <f t="shared" si="2"/>
        <v>0.48142035224485019</v>
      </c>
    </row>
    <row r="163" spans="2:3" x14ac:dyDescent="0.2">
      <c r="B163" s="2">
        <v>30.49</v>
      </c>
      <c r="C163" s="2">
        <f t="shared" si="2"/>
        <v>0.53849687918212608</v>
      </c>
    </row>
    <row r="164" spans="2:3" x14ac:dyDescent="0.2">
      <c r="B164" s="2">
        <v>29.41</v>
      </c>
      <c r="C164" s="2">
        <f t="shared" si="2"/>
        <v>0.54842805666133965</v>
      </c>
    </row>
    <row r="165" spans="2:3" x14ac:dyDescent="0.2">
      <c r="B165" s="2">
        <v>29.92</v>
      </c>
      <c r="C165" s="2">
        <f t="shared" si="2"/>
        <v>0.57917182251901722</v>
      </c>
    </row>
    <row r="166" spans="2:3" x14ac:dyDescent="0.2">
      <c r="B166" s="2">
        <v>30.25</v>
      </c>
      <c r="C166" s="2">
        <f t="shared" si="2"/>
        <v>0.58053997852574002</v>
      </c>
    </row>
    <row r="167" spans="2:3" x14ac:dyDescent="0.2">
      <c r="B167" s="2">
        <v>30.2</v>
      </c>
      <c r="C167" s="2">
        <f t="shared" si="2"/>
        <v>0.56980405988959637</v>
      </c>
    </row>
    <row r="168" spans="2:3" x14ac:dyDescent="0.2">
      <c r="B168" s="2">
        <v>29.06</v>
      </c>
      <c r="C168" s="2">
        <f t="shared" si="2"/>
        <v>0.55904283278554689</v>
      </c>
    </row>
    <row r="169" spans="2:3" x14ac:dyDescent="0.2">
      <c r="B169" s="2">
        <v>29.6</v>
      </c>
      <c r="C169" s="2">
        <f t="shared" si="2"/>
        <v>0.65166794543779094</v>
      </c>
    </row>
    <row r="170" spans="2:3" x14ac:dyDescent="0.2">
      <c r="B170" s="2">
        <v>29.37</v>
      </c>
      <c r="C170" s="2">
        <f t="shared" si="2"/>
        <v>0.61068631700552944</v>
      </c>
    </row>
    <row r="171" spans="2:3" x14ac:dyDescent="0.2">
      <c r="B171" s="2">
        <v>30.95</v>
      </c>
      <c r="C171" s="2">
        <f t="shared" si="2"/>
        <v>0.60125886456851707</v>
      </c>
    </row>
    <row r="172" spans="2:3" x14ac:dyDescent="0.2">
      <c r="B172" s="2">
        <v>30.22</v>
      </c>
      <c r="C172" s="2">
        <f t="shared" si="2"/>
        <v>0.64649482252803492</v>
      </c>
    </row>
    <row r="173" spans="2:3" x14ac:dyDescent="0.2">
      <c r="B173" s="2">
        <v>30.54</v>
      </c>
      <c r="C173" s="2">
        <f t="shared" si="2"/>
        <v>0.58313425174273126</v>
      </c>
    </row>
    <row r="174" spans="2:3" x14ac:dyDescent="0.2">
      <c r="B174" s="2">
        <v>30.2</v>
      </c>
      <c r="C174" s="2">
        <f t="shared" si="2"/>
        <v>0.58849714433367339</v>
      </c>
    </row>
    <row r="175" spans="2:3" x14ac:dyDescent="0.2">
      <c r="B175" s="2">
        <v>29.91</v>
      </c>
      <c r="C175" s="2">
        <f t="shared" si="2"/>
        <v>0.5599890871952572</v>
      </c>
    </row>
    <row r="176" spans="2:3" x14ac:dyDescent="0.2">
      <c r="B176" s="2">
        <v>29.73</v>
      </c>
      <c r="C176" s="2">
        <f t="shared" si="2"/>
        <v>0.56021821145375494</v>
      </c>
    </row>
    <row r="177" spans="2:3" x14ac:dyDescent="0.2">
      <c r="B177" s="2">
        <v>30.9</v>
      </c>
      <c r="C177" s="2">
        <f t="shared" si="2"/>
        <v>0.56166023735192605</v>
      </c>
    </row>
    <row r="178" spans="2:3" x14ac:dyDescent="0.2">
      <c r="B178" s="2">
        <v>29.46</v>
      </c>
      <c r="C178" s="2">
        <f t="shared" si="2"/>
        <v>0.63166094984220367</v>
      </c>
    </row>
    <row r="179" spans="2:3" x14ac:dyDescent="0.2">
      <c r="B179" s="2">
        <v>29.2</v>
      </c>
      <c r="C179" s="2">
        <f t="shared" si="2"/>
        <v>0.57199067591467989</v>
      </c>
    </row>
    <row r="180" spans="2:3" x14ac:dyDescent="0.2">
      <c r="B180" s="2">
        <v>30.06</v>
      </c>
      <c r="C180" s="2">
        <f t="shared" si="2"/>
        <v>0.62173234684316558</v>
      </c>
    </row>
    <row r="181" spans="2:3" x14ac:dyDescent="0.2">
      <c r="B181" s="2">
        <v>29.95</v>
      </c>
      <c r="C181" s="2">
        <f t="shared" si="2"/>
        <v>0.57463128274669362</v>
      </c>
    </row>
    <row r="182" spans="2:3" x14ac:dyDescent="0.2">
      <c r="B182" s="2">
        <v>30.2</v>
      </c>
      <c r="C182" s="2">
        <f t="shared" si="2"/>
        <v>0.49506565221190568</v>
      </c>
    </row>
    <row r="183" spans="2:3" x14ac:dyDescent="0.2">
      <c r="B183" s="2">
        <v>30.83</v>
      </c>
      <c r="C183" s="2">
        <f t="shared" si="2"/>
        <v>0.49419406894233092</v>
      </c>
    </row>
    <row r="184" spans="2:3" x14ac:dyDescent="0.2">
      <c r="B184" s="2">
        <v>29.32</v>
      </c>
      <c r="C184" s="2">
        <f t="shared" si="2"/>
        <v>0.53522996096174447</v>
      </c>
    </row>
    <row r="185" spans="2:3" x14ac:dyDescent="0.2">
      <c r="B185" s="2">
        <v>30</v>
      </c>
      <c r="C185" s="2">
        <f t="shared" si="2"/>
        <v>0.57741184993420747</v>
      </c>
    </row>
    <row r="186" spans="2:3" x14ac:dyDescent="0.2">
      <c r="B186" s="2">
        <v>29.33</v>
      </c>
      <c r="C186" s="2">
        <f t="shared" si="2"/>
        <v>0.57731658944156783</v>
      </c>
    </row>
    <row r="187" spans="2:3" x14ac:dyDescent="0.2">
      <c r="B187" s="2">
        <v>30.62</v>
      </c>
      <c r="C187" s="2">
        <f t="shared" si="2"/>
        <v>0.60842693343846377</v>
      </c>
    </row>
    <row r="188" spans="2:3" x14ac:dyDescent="0.2">
      <c r="B188" s="2">
        <v>30.7</v>
      </c>
      <c r="C188" s="2">
        <f t="shared" si="2"/>
        <v>0.56334418135511666</v>
      </c>
    </row>
    <row r="189" spans="2:3" x14ac:dyDescent="0.2">
      <c r="B189" s="2">
        <v>30.33</v>
      </c>
      <c r="C189" s="2">
        <f t="shared" si="2"/>
        <v>0.59219835265634513</v>
      </c>
    </row>
    <row r="190" spans="2:3" x14ac:dyDescent="0.2">
      <c r="B190" s="2">
        <v>30.4</v>
      </c>
      <c r="C190" s="2">
        <f t="shared" si="2"/>
        <v>0.52175345390966665</v>
      </c>
    </row>
    <row r="191" spans="2:3" x14ac:dyDescent="0.2">
      <c r="B191" s="2">
        <v>30.1</v>
      </c>
      <c r="C191" s="2">
        <f t="shared" si="2"/>
        <v>0.52744246658337579</v>
      </c>
    </row>
    <row r="192" spans="2:3" x14ac:dyDescent="0.2">
      <c r="B192" s="2">
        <v>30.68</v>
      </c>
      <c r="C192" s="2">
        <f t="shared" si="2"/>
        <v>0.52266517856931005</v>
      </c>
    </row>
    <row r="193" spans="2:3" x14ac:dyDescent="0.2">
      <c r="B193" s="2">
        <v>30.28</v>
      </c>
      <c r="C193" s="2">
        <f t="shared" si="2"/>
        <v>0.54592327503251059</v>
      </c>
    </row>
    <row r="194" spans="2:3" x14ac:dyDescent="0.2">
      <c r="B194" s="2">
        <v>30.83</v>
      </c>
      <c r="C194" s="2">
        <f t="shared" si="2"/>
        <v>0.50504565250194089</v>
      </c>
    </row>
    <row r="195" spans="2:3" x14ac:dyDescent="0.2">
      <c r="B195" s="2">
        <v>29.42</v>
      </c>
      <c r="C195" s="2">
        <f t="shared" si="2"/>
        <v>0.44254441082851287</v>
      </c>
    </row>
    <row r="196" spans="2:3" x14ac:dyDescent="0.2">
      <c r="B196" s="2">
        <v>29.85</v>
      </c>
      <c r="C196" s="2">
        <f t="shared" si="2"/>
        <v>0.52118348229987288</v>
      </c>
    </row>
    <row r="197" spans="2:3" x14ac:dyDescent="0.2">
      <c r="B197" s="2">
        <v>29</v>
      </c>
      <c r="C197" s="2">
        <f t="shared" si="2"/>
        <v>0.43607975825020218</v>
      </c>
    </row>
    <row r="198" spans="2:3" x14ac:dyDescent="0.2">
      <c r="B198" s="2">
        <v>29.43</v>
      </c>
      <c r="C198" s="2">
        <f t="shared" si="2"/>
        <v>0.58733768443337142</v>
      </c>
    </row>
    <row r="199" spans="2:3" x14ac:dyDescent="0.2">
      <c r="B199" s="2">
        <v>29.55</v>
      </c>
      <c r="C199" s="2">
        <f t="shared" si="2"/>
        <v>0.59462032704351153</v>
      </c>
    </row>
    <row r="200" spans="2:3" x14ac:dyDescent="0.2">
      <c r="B200" s="2">
        <v>29.91</v>
      </c>
      <c r="C200" s="2">
        <f t="shared" si="2"/>
        <v>0.60229560848473684</v>
      </c>
    </row>
    <row r="201" spans="2:3" x14ac:dyDescent="0.2">
      <c r="B201" s="2">
        <v>29.92</v>
      </c>
      <c r="C201" s="2">
        <f t="shared" si="2"/>
        <v>0.58155443043240163</v>
      </c>
    </row>
    <row r="202" spans="2:3" x14ac:dyDescent="0.2">
      <c r="B202" s="2">
        <v>29.11</v>
      </c>
      <c r="C202" s="2">
        <f t="shared" si="2"/>
        <v>0.57762059827845047</v>
      </c>
    </row>
    <row r="203" spans="2:3" x14ac:dyDescent="0.2">
      <c r="B203" s="2">
        <v>30.39</v>
      </c>
      <c r="C203" s="2">
        <f t="shared" si="2"/>
        <v>0.55087808693636242</v>
      </c>
    </row>
    <row r="204" spans="2:3" x14ac:dyDescent="0.2">
      <c r="B204" s="2">
        <v>29.24</v>
      </c>
      <c r="C204" s="2">
        <f t="shared" ref="C204:C262" si="3">_xlfn.STDEV.S(B194:B203)</f>
        <v>0.56402226118399867</v>
      </c>
    </row>
    <row r="205" spans="2:3" x14ac:dyDescent="0.2">
      <c r="B205" s="2">
        <v>29.65</v>
      </c>
      <c r="C205" s="2">
        <f t="shared" si="3"/>
        <v>0.43145232773866404</v>
      </c>
    </row>
    <row r="206" spans="2:3" x14ac:dyDescent="0.2">
      <c r="B206" s="2">
        <v>30.95</v>
      </c>
      <c r="C206" s="2">
        <f t="shared" si="3"/>
        <v>0.42797325980849737</v>
      </c>
    </row>
    <row r="207" spans="2:3" x14ac:dyDescent="0.2">
      <c r="B207" s="2">
        <v>29.68</v>
      </c>
      <c r="C207" s="2">
        <f t="shared" si="3"/>
        <v>0.60336556083356319</v>
      </c>
    </row>
    <row r="208" spans="2:3" x14ac:dyDescent="0.2">
      <c r="B208" s="2">
        <v>30.85</v>
      </c>
      <c r="C208" s="2">
        <f t="shared" si="3"/>
        <v>0.54976863820661481</v>
      </c>
    </row>
    <row r="209" spans="2:3" x14ac:dyDescent="0.2">
      <c r="B209" s="2">
        <v>30.49</v>
      </c>
      <c r="C209" s="2">
        <f t="shared" si="3"/>
        <v>0.62649377047536947</v>
      </c>
    </row>
    <row r="210" spans="2:3" x14ac:dyDescent="0.2">
      <c r="B210" s="2">
        <v>30.04</v>
      </c>
      <c r="C210" s="2">
        <f t="shared" si="3"/>
        <v>0.6344455146906719</v>
      </c>
    </row>
    <row r="211" spans="2:3" x14ac:dyDescent="0.2">
      <c r="B211" s="2">
        <v>29.4</v>
      </c>
      <c r="C211" s="2">
        <f t="shared" si="3"/>
        <v>0.6332947356659635</v>
      </c>
    </row>
    <row r="212" spans="2:3" x14ac:dyDescent="0.2">
      <c r="B212" s="2">
        <v>29.31</v>
      </c>
      <c r="C212" s="2">
        <f t="shared" si="3"/>
        <v>0.66411177104795027</v>
      </c>
    </row>
    <row r="213" spans="2:3" x14ac:dyDescent="0.2">
      <c r="B213" s="2">
        <v>29.8</v>
      </c>
      <c r="C213" s="2">
        <f t="shared" si="3"/>
        <v>0.63747766845418086</v>
      </c>
    </row>
    <row r="214" spans="2:3" x14ac:dyDescent="0.2">
      <c r="B214" s="2">
        <v>29.08</v>
      </c>
      <c r="C214" s="2">
        <f t="shared" si="3"/>
        <v>0.62454338876049686</v>
      </c>
    </row>
    <row r="215" spans="2:3" x14ac:dyDescent="0.2">
      <c r="B215" s="2">
        <v>30.32</v>
      </c>
      <c r="C215" s="2">
        <f t="shared" si="3"/>
        <v>0.64617249159097567</v>
      </c>
    </row>
    <row r="216" spans="2:3" x14ac:dyDescent="0.2">
      <c r="B216" s="2">
        <v>30.43</v>
      </c>
      <c r="C216" s="2">
        <f t="shared" si="3"/>
        <v>0.64921833341676749</v>
      </c>
    </row>
    <row r="217" spans="2:3" x14ac:dyDescent="0.2">
      <c r="B217" s="2">
        <v>29.43</v>
      </c>
      <c r="C217" s="2">
        <f t="shared" si="3"/>
        <v>0.58122476050338989</v>
      </c>
    </row>
    <row r="218" spans="2:3" x14ac:dyDescent="0.2">
      <c r="B218" s="2">
        <v>29.03</v>
      </c>
      <c r="C218" s="2">
        <f t="shared" si="3"/>
        <v>0.59876261294996314</v>
      </c>
    </row>
    <row r="219" spans="2:3" x14ac:dyDescent="0.2">
      <c r="B219" s="2">
        <v>29.2</v>
      </c>
      <c r="C219" s="2">
        <f t="shared" si="3"/>
        <v>0.55821242471939936</v>
      </c>
    </row>
    <row r="220" spans="2:3" x14ac:dyDescent="0.2">
      <c r="B220" s="2">
        <v>30.3</v>
      </c>
      <c r="C220" s="2">
        <f t="shared" si="3"/>
        <v>0.51088594073867866</v>
      </c>
    </row>
    <row r="221" spans="2:3" x14ac:dyDescent="0.2">
      <c r="B221" s="2">
        <v>30.79</v>
      </c>
      <c r="C221" s="2">
        <f t="shared" si="3"/>
        <v>0.54125368872235502</v>
      </c>
    </row>
    <row r="222" spans="2:3" x14ac:dyDescent="0.2">
      <c r="B222" s="2">
        <v>29.85</v>
      </c>
      <c r="C222" s="2">
        <f t="shared" si="3"/>
        <v>0.64429892993168258</v>
      </c>
    </row>
    <row r="223" spans="2:3" x14ac:dyDescent="0.2">
      <c r="B223" s="2">
        <v>30.5</v>
      </c>
      <c r="C223" s="2">
        <f t="shared" si="3"/>
        <v>0.62385984893332502</v>
      </c>
    </row>
    <row r="224" spans="2:3" x14ac:dyDescent="0.2">
      <c r="B224" s="2">
        <v>30.65</v>
      </c>
      <c r="C224" s="2">
        <f t="shared" si="3"/>
        <v>0.65925968580926697</v>
      </c>
    </row>
    <row r="225" spans="2:3" x14ac:dyDescent="0.2">
      <c r="B225" s="2">
        <v>30.17</v>
      </c>
      <c r="C225" s="2">
        <f t="shared" si="3"/>
        <v>0.63044957503884969</v>
      </c>
    </row>
    <row r="226" spans="2:3" x14ac:dyDescent="0.2">
      <c r="B226" s="2">
        <v>29.53</v>
      </c>
      <c r="C226" s="2">
        <f t="shared" si="3"/>
        <v>0.6250733290316155</v>
      </c>
    </row>
    <row r="227" spans="2:3" x14ac:dyDescent="0.2">
      <c r="B227" s="2">
        <v>29.8</v>
      </c>
      <c r="C227" s="2">
        <f t="shared" si="3"/>
        <v>0.62667109927510312</v>
      </c>
    </row>
    <row r="228" spans="2:3" x14ac:dyDescent="0.2">
      <c r="B228" s="2">
        <v>30.58</v>
      </c>
      <c r="C228" s="2">
        <f t="shared" si="3"/>
        <v>0.60337568912098349</v>
      </c>
    </row>
    <row r="229" spans="2:3" x14ac:dyDescent="0.2">
      <c r="B229" s="2">
        <v>29.76</v>
      </c>
      <c r="C229" s="2">
        <f t="shared" si="3"/>
        <v>0.52573863383920205</v>
      </c>
    </row>
    <row r="230" spans="2:3" x14ac:dyDescent="0.2">
      <c r="B230" s="2">
        <v>29.7</v>
      </c>
      <c r="C230" s="2">
        <f t="shared" si="3"/>
        <v>0.43721466886035032</v>
      </c>
    </row>
    <row r="231" spans="2:3" x14ac:dyDescent="0.2">
      <c r="B231" s="2">
        <v>30.64</v>
      </c>
      <c r="C231" s="2">
        <f t="shared" si="3"/>
        <v>0.46140004334633433</v>
      </c>
    </row>
    <row r="232" spans="2:3" x14ac:dyDescent="0.2">
      <c r="B232" s="2">
        <v>29.22</v>
      </c>
      <c r="C232" s="2">
        <f t="shared" si="3"/>
        <v>0.43959071873732658</v>
      </c>
    </row>
    <row r="233" spans="2:3" x14ac:dyDescent="0.2">
      <c r="B233" s="2">
        <v>29.64</v>
      </c>
      <c r="C233" s="2">
        <f t="shared" si="3"/>
        <v>0.52004807470079117</v>
      </c>
    </row>
    <row r="234" spans="2:3" x14ac:dyDescent="0.2">
      <c r="B234" s="2">
        <v>29.61</v>
      </c>
      <c r="C234" s="2">
        <f t="shared" si="3"/>
        <v>0.50927944741129627</v>
      </c>
    </row>
    <row r="235" spans="2:3" x14ac:dyDescent="0.2">
      <c r="B235" s="2">
        <v>29.81</v>
      </c>
      <c r="C235" s="2">
        <f t="shared" si="3"/>
        <v>0.45840908464916885</v>
      </c>
    </row>
    <row r="236" spans="2:3" x14ac:dyDescent="0.2">
      <c r="B236" s="2">
        <v>29.21</v>
      </c>
      <c r="C236" s="2">
        <f t="shared" si="3"/>
        <v>0.44575653544158922</v>
      </c>
    </row>
    <row r="237" spans="2:3" x14ac:dyDescent="0.2">
      <c r="B237" s="2">
        <v>29.37</v>
      </c>
      <c r="C237" s="2">
        <f t="shared" si="3"/>
        <v>0.47979277934449049</v>
      </c>
    </row>
    <row r="238" spans="2:3" x14ac:dyDescent="0.2">
      <c r="B238" s="2">
        <v>30.99</v>
      </c>
      <c r="C238" s="2">
        <f t="shared" si="3"/>
        <v>0.4984018904904397</v>
      </c>
    </row>
    <row r="239" spans="2:3" x14ac:dyDescent="0.2">
      <c r="B239" s="2">
        <v>29.22</v>
      </c>
      <c r="C239" s="2">
        <f t="shared" si="3"/>
        <v>0.58349997619727612</v>
      </c>
    </row>
    <row r="240" spans="2:3" x14ac:dyDescent="0.2">
      <c r="B240" s="2">
        <v>29.89</v>
      </c>
      <c r="C240" s="2">
        <f t="shared" si="3"/>
        <v>0.61141820566795524</v>
      </c>
    </row>
    <row r="241" spans="2:3" x14ac:dyDescent="0.2">
      <c r="B241" s="2">
        <v>29.76</v>
      </c>
      <c r="C241" s="2">
        <f t="shared" si="3"/>
        <v>0.61295278049056179</v>
      </c>
    </row>
    <row r="242" spans="2:3" x14ac:dyDescent="0.2">
      <c r="B242" s="2">
        <v>29.69</v>
      </c>
      <c r="C242" s="2">
        <f t="shared" si="3"/>
        <v>0.53015301774320023</v>
      </c>
    </row>
    <row r="243" spans="2:3" x14ac:dyDescent="0.2">
      <c r="B243" s="2">
        <v>30.82</v>
      </c>
      <c r="C243" s="2">
        <f t="shared" si="3"/>
        <v>0.50590842386081381</v>
      </c>
    </row>
    <row r="244" spans="2:3" x14ac:dyDescent="0.2">
      <c r="B244" s="2">
        <v>30.57</v>
      </c>
      <c r="C244" s="2">
        <f t="shared" si="3"/>
        <v>0.61193772377405964</v>
      </c>
    </row>
    <row r="245" spans="2:3" x14ac:dyDescent="0.2">
      <c r="B245" s="2">
        <v>29.09</v>
      </c>
      <c r="C245" s="2">
        <f t="shared" si="3"/>
        <v>0.64668470765212216</v>
      </c>
    </row>
    <row r="246" spans="2:3" x14ac:dyDescent="0.2">
      <c r="B246" s="2">
        <v>29.38</v>
      </c>
      <c r="C246" s="2">
        <f t="shared" si="3"/>
        <v>0.69980076529760282</v>
      </c>
    </row>
    <row r="247" spans="2:3" x14ac:dyDescent="0.2">
      <c r="B247" s="2">
        <v>30.38</v>
      </c>
      <c r="C247" s="2">
        <f t="shared" si="3"/>
        <v>0.68411824838822832</v>
      </c>
    </row>
    <row r="248" spans="2:3" x14ac:dyDescent="0.2">
      <c r="B248" s="2">
        <v>29.69</v>
      </c>
      <c r="C248" s="2">
        <f t="shared" si="3"/>
        <v>0.67528512496574344</v>
      </c>
    </row>
    <row r="249" spans="2:3" x14ac:dyDescent="0.2">
      <c r="B249" s="2">
        <v>30.11</v>
      </c>
      <c r="C249" s="2">
        <f t="shared" si="3"/>
        <v>0.57701242043246648</v>
      </c>
    </row>
    <row r="250" spans="2:3" x14ac:dyDescent="0.2">
      <c r="B250" s="2">
        <v>29.54</v>
      </c>
      <c r="C250" s="2">
        <f t="shared" si="3"/>
        <v>0.53642437594791592</v>
      </c>
    </row>
    <row r="251" spans="2:3" x14ac:dyDescent="0.2">
      <c r="B251" s="2">
        <v>29.83</v>
      </c>
      <c r="C251" s="2">
        <f t="shared" si="3"/>
        <v>0.55112107965894797</v>
      </c>
    </row>
    <row r="252" spans="2:3" x14ac:dyDescent="0.2">
      <c r="B252" s="2">
        <v>29.31</v>
      </c>
      <c r="C252" s="2">
        <f t="shared" si="3"/>
        <v>0.54954526656136349</v>
      </c>
    </row>
    <row r="253" spans="2:3" x14ac:dyDescent="0.2">
      <c r="B253" s="2">
        <v>30.71</v>
      </c>
      <c r="C253" s="2">
        <f t="shared" si="3"/>
        <v>0.57880720259666607</v>
      </c>
    </row>
    <row r="254" spans="2:3" x14ac:dyDescent="0.2">
      <c r="B254" s="2">
        <v>30.39</v>
      </c>
      <c r="C254" s="2">
        <f t="shared" si="3"/>
        <v>0.5595126847931553</v>
      </c>
    </row>
    <row r="255" spans="2:3" x14ac:dyDescent="0.2">
      <c r="B255" s="2">
        <v>29.71</v>
      </c>
      <c r="C255" s="2">
        <f t="shared" si="3"/>
        <v>0.53659523334115145</v>
      </c>
    </row>
    <row r="256" spans="2:3" x14ac:dyDescent="0.2">
      <c r="B256" s="2">
        <v>30.33</v>
      </c>
      <c r="C256" s="2">
        <f t="shared" si="3"/>
        <v>0.47183448133617595</v>
      </c>
    </row>
    <row r="257" spans="2:3" x14ac:dyDescent="0.2">
      <c r="B257" s="2">
        <v>30.76</v>
      </c>
      <c r="C257" s="2">
        <f t="shared" si="3"/>
        <v>0.44949354216100212</v>
      </c>
    </row>
    <row r="258" spans="2:3" x14ac:dyDescent="0.2">
      <c r="B258" s="2">
        <v>30.57</v>
      </c>
      <c r="C258" s="2">
        <f t="shared" si="3"/>
        <v>0.4985712921271479</v>
      </c>
    </row>
    <row r="259" spans="2:3" x14ac:dyDescent="0.2">
      <c r="B259" s="2">
        <v>29.65</v>
      </c>
      <c r="C259" s="2">
        <f t="shared" si="3"/>
        <v>0.50789762748018497</v>
      </c>
    </row>
    <row r="260" spans="2:3" x14ac:dyDescent="0.2">
      <c r="B260" s="2">
        <v>30.42</v>
      </c>
      <c r="C260" s="2">
        <f t="shared" si="3"/>
        <v>0.52986371413369726</v>
      </c>
    </row>
    <row r="261" spans="2:3" x14ac:dyDescent="0.2">
      <c r="B261" s="2">
        <v>29.26</v>
      </c>
      <c r="C261" s="2">
        <f t="shared" si="3"/>
        <v>0.50258885339366255</v>
      </c>
    </row>
    <row r="262" spans="2:3" x14ac:dyDescent="0.2">
      <c r="B262" s="2">
        <v>29.02</v>
      </c>
      <c r="C262" s="2">
        <f t="shared" si="3"/>
        <v>0.57262456189801136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4B51-28FA-47C3-B823-1C9C1D3CE061}">
  <dimension ref="A1:F193"/>
  <sheetViews>
    <sheetView workbookViewId="0">
      <selection activeCell="J24" sqref="J24"/>
    </sheetView>
  </sheetViews>
  <sheetFormatPr baseColWidth="10" defaultColWidth="8.83203125" defaultRowHeight="15" x14ac:dyDescent="0.2"/>
  <sheetData>
    <row r="1" spans="1:6" x14ac:dyDescent="0.2">
      <c r="A1">
        <v>69</v>
      </c>
      <c r="B1" s="1">
        <v>45754</v>
      </c>
      <c r="C1" s="1"/>
      <c r="D1" s="2">
        <v>29.49</v>
      </c>
      <c r="E1" s="2">
        <f>_xlfn.STDEV.S('Assay 1'!D60:D69)</f>
        <v>0.89537329272953714</v>
      </c>
      <c r="F1" s="2"/>
    </row>
    <row r="2" spans="1:6" x14ac:dyDescent="0.2">
      <c r="A2">
        <v>70</v>
      </c>
      <c r="B2" s="1">
        <v>45755</v>
      </c>
      <c r="C2" s="1"/>
      <c r="D2" s="2">
        <v>30.51</v>
      </c>
      <c r="E2" s="2" t="e">
        <f>_xlfn.STDEV.S(D1:D1)</f>
        <v>#DIV/0!</v>
      </c>
      <c r="F2" s="2"/>
    </row>
    <row r="3" spans="1:6" x14ac:dyDescent="0.2">
      <c r="A3">
        <v>71</v>
      </c>
      <c r="B3" s="1">
        <v>45756</v>
      </c>
      <c r="C3" s="1"/>
      <c r="D3" s="2">
        <v>30.79</v>
      </c>
      <c r="E3" s="2">
        <f>_xlfn.STDEV.S(D1:D2)</f>
        <v>0.72124891681028069</v>
      </c>
      <c r="F3" s="2"/>
    </row>
    <row r="4" spans="1:6" x14ac:dyDescent="0.2">
      <c r="A4">
        <v>72</v>
      </c>
      <c r="B4" s="1">
        <v>45757</v>
      </c>
      <c r="C4" s="1"/>
      <c r="D4" s="2">
        <v>28.03</v>
      </c>
      <c r="E4" s="2">
        <f>_xlfn.STDEV.S(D1:D3)</f>
        <v>0.68420269901055963</v>
      </c>
      <c r="F4" s="2"/>
    </row>
    <row r="5" spans="1:6" x14ac:dyDescent="0.2">
      <c r="A5">
        <v>73</v>
      </c>
      <c r="B5" s="1">
        <v>45758</v>
      </c>
      <c r="C5" s="1"/>
      <c r="D5" s="2">
        <v>31.31</v>
      </c>
      <c r="E5" s="2">
        <f>_xlfn.STDEV.S(D1:D4)</f>
        <v>1.24861256334114</v>
      </c>
      <c r="F5" s="2"/>
    </row>
    <row r="6" spans="1:6" x14ac:dyDescent="0.2">
      <c r="A6">
        <v>74</v>
      </c>
      <c r="B6" s="1">
        <v>45761</v>
      </c>
      <c r="C6" s="1"/>
      <c r="D6" s="2">
        <v>31.46</v>
      </c>
      <c r="E6" s="2">
        <f>_xlfn.STDEV.S(D1:D5)</f>
        <v>1.2978751866030871</v>
      </c>
      <c r="F6" s="2"/>
    </row>
    <row r="7" spans="1:6" x14ac:dyDescent="0.2">
      <c r="A7">
        <v>75</v>
      </c>
      <c r="B7" s="1">
        <v>45762</v>
      </c>
      <c r="C7" s="1"/>
      <c r="D7" s="2">
        <v>31.89</v>
      </c>
      <c r="E7" s="2">
        <f>_xlfn.STDEV.S(D1:D6)</f>
        <v>1.3001192253020488</v>
      </c>
      <c r="F7" s="2"/>
    </row>
    <row r="8" spans="1:6" x14ac:dyDescent="0.2">
      <c r="A8">
        <v>76</v>
      </c>
      <c r="B8" s="1">
        <v>45763</v>
      </c>
      <c r="C8" s="1"/>
      <c r="D8" s="2">
        <v>31.22</v>
      </c>
      <c r="E8" s="2">
        <f>_xlfn.STDEV.S(D1:D7)</f>
        <v>1.3363471889908733</v>
      </c>
      <c r="F8" s="2"/>
    </row>
    <row r="9" spans="1:6" x14ac:dyDescent="0.2">
      <c r="A9">
        <v>77</v>
      </c>
      <c r="B9" s="1">
        <v>45764</v>
      </c>
      <c r="C9" s="1"/>
      <c r="D9" s="2">
        <v>29.07</v>
      </c>
      <c r="E9" s="2">
        <f>_xlfn.STDEV.S(D1:D8)</f>
        <v>1.2633374167542999</v>
      </c>
      <c r="F9" s="2"/>
    </row>
    <row r="10" spans="1:6" x14ac:dyDescent="0.2">
      <c r="A10">
        <v>78</v>
      </c>
      <c r="B10" s="1">
        <v>45765</v>
      </c>
      <c r="C10" s="1"/>
      <c r="D10" s="2">
        <v>28.56</v>
      </c>
      <c r="E10" s="2">
        <f>_xlfn.STDEV.S(D1:D9)</f>
        <v>1.2854517148112219</v>
      </c>
      <c r="F10" s="2"/>
    </row>
    <row r="11" spans="1:6" x14ac:dyDescent="0.2">
      <c r="A11">
        <v>79</v>
      </c>
      <c r="B11" s="1">
        <v>45768</v>
      </c>
      <c r="C11" s="1"/>
      <c r="D11" s="2">
        <v>30.17</v>
      </c>
      <c r="E11" s="2">
        <f t="shared" ref="E11:E42" si="0">_xlfn.STDEV.S(D1:D10)</f>
        <v>1.3469723250477139</v>
      </c>
      <c r="F11" s="2"/>
    </row>
    <row r="12" spans="1:6" x14ac:dyDescent="0.2">
      <c r="A12">
        <v>80</v>
      </c>
      <c r="B12" s="1">
        <v>45769</v>
      </c>
      <c r="C12" s="1"/>
      <c r="D12" s="2">
        <v>31.56</v>
      </c>
      <c r="E12" s="2">
        <f t="shared" si="0"/>
        <v>1.3222325396422856</v>
      </c>
      <c r="F12" s="2"/>
    </row>
    <row r="13" spans="1:6" x14ac:dyDescent="0.2">
      <c r="A13">
        <v>81</v>
      </c>
      <c r="B13" s="1">
        <v>45770</v>
      </c>
      <c r="C13" s="1"/>
      <c r="D13" s="2">
        <v>29.37</v>
      </c>
      <c r="E13" s="2">
        <f t="shared" si="0"/>
        <v>1.3810559567068799</v>
      </c>
      <c r="F13" s="2"/>
    </row>
    <row r="14" spans="1:6" x14ac:dyDescent="0.2">
      <c r="A14">
        <v>82</v>
      </c>
      <c r="B14" s="1">
        <v>45771</v>
      </c>
      <c r="C14" s="1"/>
      <c r="D14" s="2">
        <v>31.44</v>
      </c>
      <c r="E14" s="2">
        <f t="shared" si="0"/>
        <v>1.4098873083414225</v>
      </c>
      <c r="F14" s="2"/>
    </row>
    <row r="15" spans="1:6" x14ac:dyDescent="0.2">
      <c r="A15">
        <v>83</v>
      </c>
      <c r="B15" s="1">
        <v>45772</v>
      </c>
      <c r="C15" s="1"/>
      <c r="D15" s="2">
        <v>28.15</v>
      </c>
      <c r="E15" s="2">
        <f t="shared" si="0"/>
        <v>1.2073593775950335</v>
      </c>
      <c r="F15" s="2"/>
    </row>
    <row r="16" spans="1:6" x14ac:dyDescent="0.2">
      <c r="A16">
        <v>84</v>
      </c>
      <c r="B16" s="1">
        <v>45775</v>
      </c>
      <c r="C16" s="1"/>
      <c r="D16" s="2">
        <v>28.29</v>
      </c>
      <c r="E16" s="2">
        <f t="shared" si="0"/>
        <v>1.4004320761822051</v>
      </c>
      <c r="F16" s="2"/>
    </row>
    <row r="17" spans="1:6" x14ac:dyDescent="0.2">
      <c r="A17">
        <v>85</v>
      </c>
      <c r="B17" s="1">
        <v>45776</v>
      </c>
      <c r="C17" s="1"/>
      <c r="D17" s="2">
        <v>31.5</v>
      </c>
      <c r="E17" s="2">
        <f t="shared" si="0"/>
        <v>1.4632824592523332</v>
      </c>
      <c r="F17" s="2"/>
    </row>
    <row r="18" spans="1:6" x14ac:dyDescent="0.2">
      <c r="A18">
        <v>86</v>
      </c>
      <c r="B18" s="1">
        <v>45777</v>
      </c>
      <c r="C18" s="1"/>
      <c r="D18" s="2">
        <v>29.63</v>
      </c>
      <c r="E18" s="2">
        <f t="shared" si="0"/>
        <v>1.41073700202727</v>
      </c>
      <c r="F18" s="2"/>
    </row>
    <row r="19" spans="1:6" x14ac:dyDescent="0.2">
      <c r="A19">
        <v>87</v>
      </c>
      <c r="B19" s="1">
        <v>45778</v>
      </c>
      <c r="C19" s="1"/>
      <c r="D19" s="2">
        <v>30.57</v>
      </c>
      <c r="E19" s="2">
        <f t="shared" si="0"/>
        <v>1.3372542349489456</v>
      </c>
      <c r="F19" s="2"/>
    </row>
    <row r="20" spans="1:6" x14ac:dyDescent="0.2">
      <c r="A20">
        <v>88</v>
      </c>
      <c r="B20" s="1">
        <v>45779</v>
      </c>
      <c r="C20" s="1"/>
      <c r="D20" s="2">
        <v>30.99</v>
      </c>
      <c r="E20" s="2">
        <f t="shared" si="0"/>
        <v>1.3336349658816777</v>
      </c>
      <c r="F20" s="2"/>
    </row>
    <row r="21" spans="1:6" x14ac:dyDescent="0.2">
      <c r="A21">
        <v>89</v>
      </c>
      <c r="B21" s="1">
        <v>45782</v>
      </c>
      <c r="C21" s="1"/>
      <c r="D21" s="2">
        <v>30.62</v>
      </c>
      <c r="E21" s="2">
        <f t="shared" si="0"/>
        <v>1.2776980168342686</v>
      </c>
      <c r="F21" s="2"/>
    </row>
    <row r="22" spans="1:6" x14ac:dyDescent="0.2">
      <c r="A22">
        <v>90</v>
      </c>
      <c r="B22" s="1">
        <v>45783</v>
      </c>
      <c r="C22" s="1"/>
      <c r="D22" s="2">
        <v>31.34</v>
      </c>
      <c r="E22" s="2">
        <f t="shared" si="0"/>
        <v>1.2857146737212821</v>
      </c>
      <c r="F22" s="2"/>
    </row>
    <row r="23" spans="1:6" x14ac:dyDescent="0.2">
      <c r="A23">
        <v>91</v>
      </c>
      <c r="B23" s="1">
        <v>45784</v>
      </c>
      <c r="C23" s="1"/>
      <c r="D23" s="2">
        <v>30.32</v>
      </c>
      <c r="E23" s="2">
        <f t="shared" si="0"/>
        <v>1.2617448236470008</v>
      </c>
      <c r="F23" s="2"/>
    </row>
    <row r="24" spans="1:6" x14ac:dyDescent="0.2">
      <c r="A24">
        <v>92</v>
      </c>
      <c r="B24" s="1">
        <v>45785</v>
      </c>
      <c r="C24" s="1"/>
      <c r="D24" s="2">
        <v>29.81</v>
      </c>
      <c r="E24" s="2">
        <f t="shared" si="0"/>
        <v>1.2284701416350705</v>
      </c>
      <c r="F24" s="2"/>
    </row>
    <row r="25" spans="1:6" x14ac:dyDescent="0.2">
      <c r="A25">
        <v>93</v>
      </c>
      <c r="B25" s="1">
        <v>45786</v>
      </c>
      <c r="C25" s="1"/>
      <c r="D25" s="2">
        <v>30.44</v>
      </c>
      <c r="E25" s="2">
        <f t="shared" si="0"/>
        <v>1.1646725815533838</v>
      </c>
      <c r="F25" s="2"/>
    </row>
    <row r="26" spans="1:6" x14ac:dyDescent="0.2">
      <c r="A26">
        <v>94</v>
      </c>
      <c r="B26" s="1">
        <v>45789</v>
      </c>
      <c r="C26" s="1"/>
      <c r="D26" s="2">
        <v>30.9</v>
      </c>
      <c r="E26" s="2">
        <f t="shared" si="0"/>
        <v>0.93666607354666898</v>
      </c>
      <c r="F26" s="2"/>
    </row>
    <row r="27" spans="1:6" x14ac:dyDescent="0.2">
      <c r="A27">
        <v>95</v>
      </c>
      <c r="B27" s="1">
        <v>45790</v>
      </c>
      <c r="C27" s="1"/>
      <c r="D27" s="2">
        <v>28.22</v>
      </c>
      <c r="E27" s="2">
        <f t="shared" si="0"/>
        <v>0.60263864241627707</v>
      </c>
      <c r="F27" s="2"/>
    </row>
    <row r="28" spans="1:6" x14ac:dyDescent="0.2">
      <c r="A28">
        <v>96</v>
      </c>
      <c r="B28" s="1">
        <v>45791</v>
      </c>
      <c r="C28" s="1"/>
      <c r="D28" s="2">
        <v>31.86</v>
      </c>
      <c r="E28" s="2">
        <f t="shared" si="0"/>
        <v>0.88980896826228972</v>
      </c>
      <c r="F28" s="2"/>
    </row>
    <row r="29" spans="1:6" x14ac:dyDescent="0.2">
      <c r="A29">
        <v>97</v>
      </c>
      <c r="B29" s="1">
        <v>45792</v>
      </c>
      <c r="C29" s="1"/>
      <c r="D29" s="2">
        <v>28.93</v>
      </c>
      <c r="E29" s="2">
        <f t="shared" si="0"/>
        <v>0.98232207888587486</v>
      </c>
      <c r="F29" s="2"/>
    </row>
    <row r="30" spans="1:6" x14ac:dyDescent="0.2">
      <c r="A30">
        <v>98</v>
      </c>
      <c r="B30" s="1">
        <v>45793</v>
      </c>
      <c r="C30" s="1"/>
      <c r="D30" s="2">
        <v>29.27</v>
      </c>
      <c r="E30" s="2">
        <f t="shared" si="0"/>
        <v>1.1004347625673532</v>
      </c>
      <c r="F30" s="2"/>
    </row>
    <row r="31" spans="1:6" x14ac:dyDescent="0.2">
      <c r="A31">
        <v>99</v>
      </c>
      <c r="B31" s="1">
        <v>45796</v>
      </c>
      <c r="C31" s="1"/>
      <c r="D31" s="2">
        <v>29.96</v>
      </c>
      <c r="E31" s="2">
        <f t="shared" si="0"/>
        <v>1.1222739812046296</v>
      </c>
      <c r="F31" s="2"/>
    </row>
    <row r="32" spans="1:6" x14ac:dyDescent="0.2">
      <c r="A32">
        <v>100</v>
      </c>
      <c r="B32" s="1">
        <v>45797</v>
      </c>
      <c r="C32" s="1"/>
      <c r="D32" s="2">
        <v>29.62</v>
      </c>
      <c r="E32" s="2">
        <f t="shared" si="0"/>
        <v>1.1122974222551969</v>
      </c>
      <c r="F32" s="2"/>
    </row>
    <row r="33" spans="1:6" x14ac:dyDescent="0.2">
      <c r="A33">
        <v>101</v>
      </c>
      <c r="B33" s="1">
        <v>45798</v>
      </c>
      <c r="C33" s="1"/>
      <c r="D33" s="2">
        <v>29.8</v>
      </c>
      <c r="E33" s="2">
        <f t="shared" si="0"/>
        <v>1.0300490818942132</v>
      </c>
      <c r="F33" s="2"/>
    </row>
    <row r="34" spans="1:6" x14ac:dyDescent="0.2">
      <c r="A34">
        <v>102</v>
      </c>
      <c r="B34" s="1">
        <v>45799</v>
      </c>
      <c r="C34" s="1"/>
      <c r="D34" s="2">
        <v>28.58</v>
      </c>
      <c r="E34" s="2">
        <f t="shared" si="0"/>
        <v>1.0214309135282285</v>
      </c>
      <c r="F34" s="2"/>
    </row>
    <row r="35" spans="1:6" x14ac:dyDescent="0.2">
      <c r="A35">
        <v>103</v>
      </c>
      <c r="B35" s="1">
        <v>45800</v>
      </c>
      <c r="C35" s="1"/>
      <c r="D35" s="2">
        <v>31.91</v>
      </c>
      <c r="E35" s="2">
        <f t="shared" si="0"/>
        <v>1.1018247491220092</v>
      </c>
      <c r="F35" s="2"/>
    </row>
    <row r="36" spans="1:6" x14ac:dyDescent="0.2">
      <c r="A36">
        <v>104</v>
      </c>
      <c r="B36" s="1">
        <v>45803</v>
      </c>
      <c r="C36" s="1"/>
      <c r="D36" s="2">
        <v>30.08</v>
      </c>
      <c r="E36" s="2">
        <f t="shared" si="0"/>
        <v>1.2856494251717474</v>
      </c>
      <c r="F36" s="2"/>
    </row>
    <row r="37" spans="1:6" x14ac:dyDescent="0.2">
      <c r="A37">
        <v>105</v>
      </c>
      <c r="B37" s="1">
        <v>45804</v>
      </c>
      <c r="C37" s="1"/>
      <c r="D37" s="2">
        <v>31.45</v>
      </c>
      <c r="E37" s="2">
        <f t="shared" si="0"/>
        <v>1.2404931814940918</v>
      </c>
      <c r="F37" s="2"/>
    </row>
    <row r="38" spans="1:6" x14ac:dyDescent="0.2">
      <c r="A38">
        <v>106</v>
      </c>
      <c r="B38" s="1">
        <v>45805</v>
      </c>
      <c r="C38" s="1"/>
      <c r="D38" s="2">
        <v>28.71</v>
      </c>
      <c r="E38" s="2">
        <f t="shared" si="0"/>
        <v>1.1964595921114745</v>
      </c>
      <c r="F38" s="2"/>
    </row>
    <row r="39" spans="1:6" x14ac:dyDescent="0.2">
      <c r="A39">
        <v>107</v>
      </c>
      <c r="B39" s="1">
        <v>45806</v>
      </c>
      <c r="C39" s="1"/>
      <c r="D39" s="2">
        <v>31.68</v>
      </c>
      <c r="E39" s="2">
        <f t="shared" si="0"/>
        <v>1.1063297679966655</v>
      </c>
      <c r="F39" s="2"/>
    </row>
    <row r="40" spans="1:6" x14ac:dyDescent="0.2">
      <c r="A40">
        <v>108</v>
      </c>
      <c r="B40" s="1">
        <v>45807</v>
      </c>
      <c r="C40" s="1"/>
      <c r="D40" s="2">
        <v>30.4</v>
      </c>
      <c r="E40" s="2">
        <f t="shared" si="0"/>
        <v>1.195660672784902</v>
      </c>
      <c r="F40" s="2"/>
    </row>
    <row r="41" spans="1:6" x14ac:dyDescent="0.2">
      <c r="A41">
        <v>109</v>
      </c>
      <c r="B41" s="1">
        <v>45810</v>
      </c>
      <c r="C41" s="1"/>
      <c r="D41" s="2">
        <v>28.95</v>
      </c>
      <c r="E41" s="2">
        <f t="shared" si="0"/>
        <v>1.1607607658581314</v>
      </c>
      <c r="F41" s="2"/>
    </row>
    <row r="42" spans="1:6" x14ac:dyDescent="0.2">
      <c r="A42">
        <v>110</v>
      </c>
      <c r="B42" s="1">
        <v>45811</v>
      </c>
      <c r="C42" s="1"/>
      <c r="D42" s="2">
        <v>31.27</v>
      </c>
      <c r="E42" s="2">
        <f t="shared" si="0"/>
        <v>1.2278056306544072</v>
      </c>
      <c r="F42" s="2"/>
    </row>
    <row r="43" spans="1:6" x14ac:dyDescent="0.2">
      <c r="A43">
        <v>111</v>
      </c>
      <c r="B43" s="1">
        <v>45812</v>
      </c>
      <c r="C43" s="1"/>
      <c r="D43" s="2">
        <v>28.41</v>
      </c>
      <c r="E43" s="2">
        <f t="shared" ref="E43:E74" si="1">_xlfn.STDEV.S(D33:D42)</f>
        <v>1.2637866381105105</v>
      </c>
      <c r="F43" s="2"/>
    </row>
    <row r="44" spans="1:6" x14ac:dyDescent="0.2">
      <c r="A44">
        <v>112</v>
      </c>
      <c r="B44" s="1">
        <v>45813</v>
      </c>
      <c r="C44" s="1"/>
      <c r="D44" s="2">
        <v>28.76</v>
      </c>
      <c r="E44" s="2">
        <f t="shared" si="1"/>
        <v>1.3926808679665275</v>
      </c>
      <c r="F44" s="2"/>
    </row>
    <row r="45" spans="1:6" x14ac:dyDescent="0.2">
      <c r="A45">
        <v>113</v>
      </c>
      <c r="B45" s="1">
        <v>45814</v>
      </c>
      <c r="C45" s="1"/>
      <c r="D45" s="2">
        <v>28.09</v>
      </c>
      <c r="E45" s="2">
        <f t="shared" si="1"/>
        <v>1.371218436282126</v>
      </c>
      <c r="F45" s="2"/>
    </row>
    <row r="46" spans="1:6" x14ac:dyDescent="0.2">
      <c r="A46">
        <v>114</v>
      </c>
      <c r="B46" s="1">
        <v>45817</v>
      </c>
      <c r="C46" s="1"/>
      <c r="D46" s="2">
        <v>31.52</v>
      </c>
      <c r="E46" s="2">
        <f t="shared" si="1"/>
        <v>1.3622122529995908</v>
      </c>
      <c r="F46" s="2"/>
    </row>
    <row r="47" spans="1:6" x14ac:dyDescent="0.2">
      <c r="A47">
        <v>115</v>
      </c>
      <c r="B47" s="1">
        <v>45818</v>
      </c>
      <c r="C47" s="1"/>
      <c r="D47" s="2">
        <v>31.88</v>
      </c>
      <c r="E47" s="2">
        <f t="shared" si="1"/>
        <v>1.4693475498404798</v>
      </c>
      <c r="F47" s="2"/>
    </row>
    <row r="48" spans="1:6" x14ac:dyDescent="0.2">
      <c r="A48">
        <v>116</v>
      </c>
      <c r="B48" s="1">
        <v>45819</v>
      </c>
      <c r="C48" s="1"/>
      <c r="D48" s="2">
        <v>30.62</v>
      </c>
      <c r="E48" s="2">
        <f t="shared" si="1"/>
        <v>1.5242342339679942</v>
      </c>
      <c r="F48" s="2"/>
    </row>
    <row r="49" spans="1:6" x14ac:dyDescent="0.2">
      <c r="A49">
        <v>117</v>
      </c>
      <c r="B49" s="1">
        <v>45820</v>
      </c>
      <c r="C49" s="1"/>
      <c r="D49" s="2">
        <v>29.84</v>
      </c>
      <c r="E49" s="2">
        <f t="shared" si="1"/>
        <v>1.4678464951531316</v>
      </c>
      <c r="F49" s="2"/>
    </row>
    <row r="50" spans="1:6" x14ac:dyDescent="0.2">
      <c r="A50">
        <v>118</v>
      </c>
      <c r="B50" s="1">
        <v>45821</v>
      </c>
      <c r="C50" s="1"/>
      <c r="D50" s="2">
        <v>29.92</v>
      </c>
      <c r="E50" s="2">
        <f t="shared" si="1"/>
        <v>1.3677735355110667</v>
      </c>
      <c r="F50" s="2"/>
    </row>
    <row r="51" spans="1:6" x14ac:dyDescent="0.2">
      <c r="A51">
        <v>119</v>
      </c>
      <c r="B51" s="1">
        <v>45824</v>
      </c>
      <c r="C51" s="1"/>
      <c r="D51" s="2">
        <v>30.04</v>
      </c>
      <c r="E51" s="2">
        <f t="shared" si="1"/>
        <v>1.3595603864648469</v>
      </c>
      <c r="F51" s="2"/>
    </row>
    <row r="52" spans="1:6" x14ac:dyDescent="0.2">
      <c r="A52">
        <v>120</v>
      </c>
      <c r="B52" s="1">
        <v>45825</v>
      </c>
      <c r="C52" s="1"/>
      <c r="D52" s="2">
        <v>30.61</v>
      </c>
      <c r="E52" s="2">
        <f t="shared" si="1"/>
        <v>1.3156008344310042</v>
      </c>
      <c r="F52" s="2"/>
    </row>
    <row r="53" spans="1:6" x14ac:dyDescent="0.2">
      <c r="A53">
        <v>121</v>
      </c>
      <c r="B53" s="1">
        <v>45826</v>
      </c>
      <c r="C53" s="1"/>
      <c r="D53" s="2">
        <v>31.78</v>
      </c>
      <c r="E53" s="2">
        <f t="shared" si="1"/>
        <v>1.2622330300789237</v>
      </c>
      <c r="F53" s="2"/>
    </row>
    <row r="54" spans="1:6" x14ac:dyDescent="0.2">
      <c r="A54">
        <v>122</v>
      </c>
      <c r="B54" s="1">
        <v>45827</v>
      </c>
      <c r="C54" s="1"/>
      <c r="D54" s="2">
        <v>29.61</v>
      </c>
      <c r="E54" s="2">
        <f t="shared" si="1"/>
        <v>1.2495617009353495</v>
      </c>
      <c r="F54" s="2"/>
    </row>
    <row r="55" spans="1:6" x14ac:dyDescent="0.2">
      <c r="A55">
        <v>123</v>
      </c>
      <c r="B55" s="1">
        <v>45828</v>
      </c>
      <c r="C55" s="1"/>
      <c r="D55" s="2">
        <v>31.35</v>
      </c>
      <c r="E55" s="2">
        <f t="shared" si="1"/>
        <v>1.158288488340544</v>
      </c>
      <c r="F55" s="2"/>
    </row>
    <row r="56" spans="1:6" x14ac:dyDescent="0.2">
      <c r="A56">
        <v>124</v>
      </c>
      <c r="B56" s="1">
        <v>45831</v>
      </c>
      <c r="C56" s="1"/>
      <c r="D56" s="2">
        <v>29.6</v>
      </c>
      <c r="E56" s="2">
        <f t="shared" si="1"/>
        <v>0.8587465024997516</v>
      </c>
      <c r="F56" s="2"/>
    </row>
    <row r="57" spans="1:6" x14ac:dyDescent="0.2">
      <c r="A57">
        <v>125</v>
      </c>
      <c r="B57" s="1">
        <v>45832</v>
      </c>
      <c r="C57" s="1"/>
      <c r="D57" s="2">
        <v>30.63</v>
      </c>
      <c r="E57" s="2">
        <f t="shared" si="1"/>
        <v>0.87376897531454067</v>
      </c>
      <c r="F57" s="2"/>
    </row>
    <row r="58" spans="1:6" x14ac:dyDescent="0.2">
      <c r="A58">
        <v>126</v>
      </c>
      <c r="B58" s="1">
        <v>45833</v>
      </c>
      <c r="C58" s="1"/>
      <c r="D58" s="2">
        <v>29.71</v>
      </c>
      <c r="E58" s="2">
        <f t="shared" si="1"/>
        <v>0.73711147958319967</v>
      </c>
      <c r="F58" s="2"/>
    </row>
    <row r="59" spans="1:6" x14ac:dyDescent="0.2">
      <c r="A59">
        <v>127</v>
      </c>
      <c r="B59" s="1">
        <v>45834</v>
      </c>
      <c r="C59" s="1"/>
      <c r="D59" s="2">
        <v>30.92</v>
      </c>
      <c r="E59" s="2">
        <f t="shared" si="1"/>
        <v>0.76266273309008925</v>
      </c>
      <c r="F59" s="2"/>
    </row>
    <row r="60" spans="1:6" x14ac:dyDescent="0.2">
      <c r="A60">
        <v>128</v>
      </c>
      <c r="B60" s="1">
        <v>45835</v>
      </c>
      <c r="C60" s="1"/>
      <c r="D60" s="2">
        <v>30.74</v>
      </c>
      <c r="E60" s="2">
        <f t="shared" si="1"/>
        <v>0.76533289779313995</v>
      </c>
      <c r="F60" s="2"/>
    </row>
    <row r="61" spans="1:6" x14ac:dyDescent="0.2">
      <c r="A61">
        <v>129</v>
      </c>
      <c r="B61" s="1">
        <v>45838</v>
      </c>
      <c r="C61" s="1"/>
      <c r="D61" s="2">
        <v>31.47</v>
      </c>
      <c r="E61" s="2">
        <f t="shared" si="1"/>
        <v>0.74993999759980823</v>
      </c>
      <c r="F61" s="2"/>
    </row>
    <row r="62" spans="1:6" x14ac:dyDescent="0.2">
      <c r="A62">
        <v>130</v>
      </c>
      <c r="B62" s="1">
        <v>45839</v>
      </c>
      <c r="C62" s="1"/>
      <c r="D62" s="2">
        <v>31</v>
      </c>
      <c r="E62" s="2">
        <f t="shared" si="1"/>
        <v>0.78806091135140055</v>
      </c>
      <c r="F62" s="2"/>
    </row>
    <row r="63" spans="1:6" x14ac:dyDescent="0.2">
      <c r="A63">
        <v>131</v>
      </c>
      <c r="B63" s="1">
        <v>45840</v>
      </c>
      <c r="C63" s="1"/>
      <c r="D63" s="2">
        <v>30.55</v>
      </c>
      <c r="E63" s="2">
        <f t="shared" si="1"/>
        <v>0.79591247424994327</v>
      </c>
      <c r="F63" s="2"/>
    </row>
    <row r="64" spans="1:6" x14ac:dyDescent="0.2">
      <c r="A64">
        <v>132</v>
      </c>
      <c r="B64" s="1">
        <v>45841</v>
      </c>
      <c r="C64" s="1"/>
      <c r="D64" s="2">
        <v>28.04</v>
      </c>
      <c r="E64" s="2">
        <f t="shared" si="1"/>
        <v>0.69596934798404242</v>
      </c>
      <c r="F64" s="2"/>
    </row>
    <row r="65" spans="1:6" x14ac:dyDescent="0.2">
      <c r="A65">
        <v>133</v>
      </c>
      <c r="B65" s="1">
        <v>45842</v>
      </c>
      <c r="C65" s="1"/>
      <c r="D65" s="2">
        <v>29.78</v>
      </c>
      <c r="E65" s="2">
        <f t="shared" si="1"/>
        <v>1.0303446025480991</v>
      </c>
      <c r="F65" s="2"/>
    </row>
    <row r="66" spans="1:6" x14ac:dyDescent="0.2">
      <c r="A66">
        <v>134</v>
      </c>
      <c r="B66" s="1">
        <v>45845</v>
      </c>
      <c r="C66" s="1"/>
      <c r="D66" s="2">
        <v>31.16</v>
      </c>
      <c r="E66" s="2">
        <f t="shared" si="1"/>
        <v>0.98843535167680252</v>
      </c>
      <c r="F66" s="2"/>
    </row>
    <row r="67" spans="1:6" x14ac:dyDescent="0.2">
      <c r="A67">
        <v>135</v>
      </c>
      <c r="B67" s="1">
        <v>45846</v>
      </c>
      <c r="C67" s="1"/>
      <c r="D67" s="2">
        <v>28.41</v>
      </c>
      <c r="E67" s="2">
        <f t="shared" si="1"/>
        <v>0.99855451083609403</v>
      </c>
      <c r="F67" s="2"/>
    </row>
    <row r="68" spans="1:6" x14ac:dyDescent="0.2">
      <c r="A68">
        <v>136</v>
      </c>
      <c r="B68" s="1">
        <v>45847</v>
      </c>
      <c r="C68" s="1"/>
      <c r="D68" s="2">
        <v>29.15</v>
      </c>
      <c r="E68" s="2">
        <f t="shared" si="1"/>
        <v>1.1732367384481466</v>
      </c>
      <c r="F68" s="2"/>
    </row>
    <row r="69" spans="1:6" x14ac:dyDescent="0.2">
      <c r="A69">
        <v>137</v>
      </c>
      <c r="B69" s="1">
        <v>45848</v>
      </c>
      <c r="C69" s="1"/>
      <c r="D69" s="2">
        <v>29.36</v>
      </c>
      <c r="E69" s="2">
        <f t="shared" si="1"/>
        <v>1.2108197406899361</v>
      </c>
      <c r="F69" s="2"/>
    </row>
    <row r="70" spans="1:6" x14ac:dyDescent="0.2">
      <c r="A70">
        <v>138</v>
      </c>
      <c r="B70" s="1">
        <v>45849</v>
      </c>
      <c r="C70" s="1"/>
      <c r="D70" s="2">
        <v>30.16</v>
      </c>
      <c r="E70" s="2">
        <f t="shared" si="1"/>
        <v>1.1969980970930758</v>
      </c>
      <c r="F70" s="2"/>
    </row>
    <row r="71" spans="1:6" x14ac:dyDescent="0.2">
      <c r="A71">
        <v>139</v>
      </c>
      <c r="B71" s="1">
        <v>45852</v>
      </c>
      <c r="C71" s="1"/>
      <c r="D71" s="2">
        <v>28.65</v>
      </c>
      <c r="E71" s="2">
        <f t="shared" si="1"/>
        <v>1.1690527979712657</v>
      </c>
      <c r="F71" s="2"/>
    </row>
    <row r="72" spans="1:6" x14ac:dyDescent="0.2">
      <c r="A72">
        <v>140</v>
      </c>
      <c r="B72" s="1">
        <v>45853</v>
      </c>
      <c r="C72" s="1"/>
      <c r="D72" s="2">
        <v>31.57</v>
      </c>
      <c r="E72" s="2">
        <f t="shared" si="1"/>
        <v>1.0876907240163043</v>
      </c>
      <c r="F72" s="2"/>
    </row>
    <row r="73" spans="1:6" x14ac:dyDescent="0.2">
      <c r="A73">
        <v>141</v>
      </c>
      <c r="B73" s="1">
        <v>45854</v>
      </c>
      <c r="C73" s="1"/>
      <c r="D73" s="2">
        <v>30.24</v>
      </c>
      <c r="E73" s="2">
        <f t="shared" si="1"/>
        <v>1.1788134335471039</v>
      </c>
      <c r="F73" s="2"/>
    </row>
    <row r="74" spans="1:6" x14ac:dyDescent="0.2">
      <c r="A74">
        <v>142</v>
      </c>
      <c r="B74" s="1">
        <v>45855</v>
      </c>
      <c r="C74" s="1"/>
      <c r="D74" s="2">
        <v>28.28</v>
      </c>
      <c r="E74" s="2">
        <f t="shared" si="1"/>
        <v>1.1573609827726374</v>
      </c>
      <c r="F74" s="2"/>
    </row>
    <row r="75" spans="1:6" x14ac:dyDescent="0.2">
      <c r="A75">
        <v>143</v>
      </c>
      <c r="B75" s="1">
        <v>45856</v>
      </c>
      <c r="C75" s="1"/>
      <c r="D75" s="2">
        <v>28.15</v>
      </c>
      <c r="E75" s="2">
        <f t="shared" ref="E75:E106" si="2">_xlfn.STDEV.S(D65:D74)</f>
        <v>1.1221724961480348</v>
      </c>
      <c r="F75" s="2"/>
    </row>
    <row r="76" spans="1:6" x14ac:dyDescent="0.2">
      <c r="A76">
        <v>144</v>
      </c>
      <c r="B76" s="1">
        <v>45859</v>
      </c>
      <c r="C76" s="1"/>
      <c r="D76" s="2">
        <v>30.66</v>
      </c>
      <c r="E76" s="2">
        <f t="shared" si="2"/>
        <v>1.2195449971198278</v>
      </c>
      <c r="F76" s="2"/>
    </row>
    <row r="77" spans="1:6" x14ac:dyDescent="0.2">
      <c r="A77">
        <v>145</v>
      </c>
      <c r="B77" s="1">
        <v>45860</v>
      </c>
      <c r="C77" s="1"/>
      <c r="D77" s="2">
        <v>28</v>
      </c>
      <c r="E77" s="2">
        <f t="shared" si="2"/>
        <v>1.15294839433515</v>
      </c>
      <c r="F77" s="2"/>
    </row>
    <row r="78" spans="1:6" x14ac:dyDescent="0.2">
      <c r="A78">
        <v>146</v>
      </c>
      <c r="B78" s="1">
        <v>45861</v>
      </c>
      <c r="C78" s="1"/>
      <c r="D78" s="2">
        <v>29.15</v>
      </c>
      <c r="E78" s="2">
        <f t="shared" si="2"/>
        <v>1.2008496991713828</v>
      </c>
      <c r="F78" s="2"/>
    </row>
    <row r="79" spans="1:6" x14ac:dyDescent="0.2">
      <c r="A79">
        <v>147</v>
      </c>
      <c r="B79" s="1">
        <v>45862</v>
      </c>
      <c r="C79" s="1"/>
      <c r="D79" s="2">
        <v>31.79</v>
      </c>
      <c r="E79" s="2">
        <f t="shared" si="2"/>
        <v>1.2008496991713826</v>
      </c>
      <c r="F79" s="2"/>
    </row>
    <row r="80" spans="1:6" x14ac:dyDescent="0.2">
      <c r="A80">
        <v>148</v>
      </c>
      <c r="B80" s="1">
        <v>45863</v>
      </c>
      <c r="C80" s="1"/>
      <c r="D80" s="2">
        <v>31.73</v>
      </c>
      <c r="E80" s="2">
        <f t="shared" si="2"/>
        <v>1.413877646757314</v>
      </c>
      <c r="F80" s="2"/>
    </row>
    <row r="81" spans="1:6" x14ac:dyDescent="0.2">
      <c r="A81">
        <v>149</v>
      </c>
      <c r="B81" s="1">
        <v>45866</v>
      </c>
      <c r="C81" s="1"/>
      <c r="D81" s="2">
        <v>28.95</v>
      </c>
      <c r="E81" s="2">
        <f t="shared" si="2"/>
        <v>1.5550691302961424</v>
      </c>
      <c r="F81" s="2"/>
    </row>
    <row r="82" spans="1:6" x14ac:dyDescent="0.2">
      <c r="A82">
        <v>150</v>
      </c>
      <c r="B82" s="1">
        <v>45867</v>
      </c>
      <c r="C82" s="1"/>
      <c r="D82" s="2">
        <v>28.33</v>
      </c>
      <c r="E82" s="2">
        <f t="shared" si="2"/>
        <v>1.5326795707735741</v>
      </c>
      <c r="F82" s="2"/>
    </row>
    <row r="83" spans="1:6" x14ac:dyDescent="0.2">
      <c r="A83">
        <v>151</v>
      </c>
      <c r="B83" s="1">
        <v>45868</v>
      </c>
      <c r="C83" s="1"/>
      <c r="D83" s="2">
        <v>29</v>
      </c>
      <c r="E83" s="2">
        <f t="shared" si="2"/>
        <v>1.4703423637597699</v>
      </c>
      <c r="F83" s="2"/>
    </row>
    <row r="84" spans="1:6" x14ac:dyDescent="0.2">
      <c r="A84">
        <v>152</v>
      </c>
      <c r="B84" s="1">
        <v>45869</v>
      </c>
      <c r="C84" s="1"/>
      <c r="D84" s="2">
        <v>29.6</v>
      </c>
      <c r="E84" s="2">
        <f t="shared" si="2"/>
        <v>1.4558403453370536</v>
      </c>
      <c r="F84" s="2"/>
    </row>
    <row r="85" spans="1:6" x14ac:dyDescent="0.2">
      <c r="A85">
        <v>153</v>
      </c>
      <c r="B85" s="1">
        <v>45870</v>
      </c>
      <c r="C85" s="1"/>
      <c r="D85" s="2">
        <v>30.33</v>
      </c>
      <c r="E85" s="2">
        <f t="shared" si="2"/>
        <v>1.4014294289918581</v>
      </c>
      <c r="F85" s="2"/>
    </row>
    <row r="86" spans="1:6" x14ac:dyDescent="0.2">
      <c r="A86">
        <v>154</v>
      </c>
      <c r="B86" s="1">
        <v>45873</v>
      </c>
      <c r="C86" s="1"/>
      <c r="D86" s="2">
        <v>28.81</v>
      </c>
      <c r="E86" s="2">
        <f t="shared" si="2"/>
        <v>1.3295880732183352</v>
      </c>
      <c r="F86" s="2"/>
    </row>
    <row r="87" spans="1:6" x14ac:dyDescent="0.2">
      <c r="A87">
        <v>155</v>
      </c>
      <c r="B87" s="1">
        <v>45874</v>
      </c>
      <c r="C87" s="1"/>
      <c r="D87" s="2">
        <v>30.77</v>
      </c>
      <c r="E87" s="2">
        <f t="shared" si="2"/>
        <v>1.3181759282348384</v>
      </c>
      <c r="F87" s="2"/>
    </row>
    <row r="88" spans="1:6" x14ac:dyDescent="0.2">
      <c r="A88">
        <v>156</v>
      </c>
      <c r="B88" s="1">
        <v>45875</v>
      </c>
      <c r="C88" s="1"/>
      <c r="D88" s="2">
        <v>30.44</v>
      </c>
      <c r="E88" s="2">
        <f t="shared" si="2"/>
        <v>1.2405930481471801</v>
      </c>
      <c r="F88" s="2"/>
    </row>
    <row r="89" spans="1:6" x14ac:dyDescent="0.2">
      <c r="A89">
        <v>157</v>
      </c>
      <c r="B89" s="1">
        <v>45876</v>
      </c>
      <c r="C89" s="1"/>
      <c r="D89" s="2">
        <v>28.04</v>
      </c>
      <c r="E89" s="2">
        <f t="shared" si="2"/>
        <v>1.2271760717644034</v>
      </c>
      <c r="F89" s="2"/>
    </row>
    <row r="90" spans="1:6" x14ac:dyDescent="0.2">
      <c r="A90">
        <v>158</v>
      </c>
      <c r="B90" s="1">
        <v>45877</v>
      </c>
      <c r="C90" s="1"/>
      <c r="D90" s="2">
        <v>28.77</v>
      </c>
      <c r="E90" s="2">
        <f t="shared" si="2"/>
        <v>1.1830938724848135</v>
      </c>
      <c r="F90" s="2"/>
    </row>
    <row r="91" spans="1:6" x14ac:dyDescent="0.2">
      <c r="A91">
        <v>159</v>
      </c>
      <c r="B91" s="1">
        <v>45880</v>
      </c>
      <c r="C91" s="1"/>
      <c r="D91" s="2">
        <v>30.24</v>
      </c>
      <c r="E91" s="2">
        <f t="shared" si="2"/>
        <v>0.93530981201121011</v>
      </c>
      <c r="F91" s="2"/>
    </row>
    <row r="92" spans="1:6" x14ac:dyDescent="0.2">
      <c r="A92">
        <v>160</v>
      </c>
      <c r="B92" s="1">
        <v>45881</v>
      </c>
      <c r="C92" s="1"/>
      <c r="D92" s="2">
        <v>29.12</v>
      </c>
      <c r="E92" s="2">
        <f t="shared" si="2"/>
        <v>0.96939901198858502</v>
      </c>
      <c r="F92" s="2"/>
    </row>
    <row r="93" spans="1:6" x14ac:dyDescent="0.2">
      <c r="A93">
        <v>161</v>
      </c>
      <c r="B93" s="1">
        <v>45882</v>
      </c>
      <c r="C93" s="1"/>
      <c r="D93" s="2">
        <v>31.73</v>
      </c>
      <c r="E93" s="2">
        <f t="shared" si="2"/>
        <v>0.89916998763674638</v>
      </c>
      <c r="F93" s="2"/>
    </row>
    <row r="94" spans="1:6" x14ac:dyDescent="0.2">
      <c r="A94">
        <v>162</v>
      </c>
      <c r="B94" s="1">
        <v>45883</v>
      </c>
      <c r="C94" s="1"/>
      <c r="D94" s="2">
        <v>28.99</v>
      </c>
      <c r="E94" s="2">
        <f t="shared" si="2"/>
        <v>1.1149813152395576</v>
      </c>
      <c r="F94" s="2"/>
    </row>
    <row r="95" spans="1:6" x14ac:dyDescent="0.2">
      <c r="A95">
        <v>163</v>
      </c>
      <c r="B95" s="1">
        <v>45884</v>
      </c>
      <c r="C95" s="1"/>
      <c r="D95" s="2">
        <v>30.24</v>
      </c>
      <c r="E95" s="2">
        <f t="shared" si="2"/>
        <v>1.1425721470047796</v>
      </c>
      <c r="F95" s="2"/>
    </row>
    <row r="96" spans="1:6" x14ac:dyDescent="0.2">
      <c r="A96">
        <v>164</v>
      </c>
      <c r="B96" s="1">
        <v>45887</v>
      </c>
      <c r="C96" s="1"/>
      <c r="D96" s="2">
        <v>31.19</v>
      </c>
      <c r="E96" s="2">
        <f t="shared" si="2"/>
        <v>1.137612021346079</v>
      </c>
      <c r="F96" s="2"/>
    </row>
    <row r="97" spans="1:6" x14ac:dyDescent="0.2">
      <c r="A97">
        <v>165</v>
      </c>
      <c r="B97" s="1">
        <v>45888</v>
      </c>
      <c r="C97" s="1"/>
      <c r="D97" s="2">
        <v>31.68</v>
      </c>
      <c r="E97" s="2">
        <f t="shared" si="2"/>
        <v>1.1755665300895002</v>
      </c>
      <c r="F97" s="2"/>
    </row>
    <row r="98" spans="1:6" x14ac:dyDescent="0.2">
      <c r="A98">
        <v>166</v>
      </c>
      <c r="B98" s="1">
        <v>45889</v>
      </c>
      <c r="C98" s="1"/>
      <c r="D98" s="2">
        <v>28.2</v>
      </c>
      <c r="E98" s="2">
        <f t="shared" si="2"/>
        <v>1.2767075711462761</v>
      </c>
      <c r="F98" s="2"/>
    </row>
    <row r="99" spans="1:6" x14ac:dyDescent="0.2">
      <c r="A99">
        <v>167</v>
      </c>
      <c r="B99" s="1">
        <v>45890</v>
      </c>
      <c r="C99" s="1"/>
      <c r="D99" s="2">
        <v>28.56</v>
      </c>
      <c r="E99" s="2">
        <f t="shared" si="2"/>
        <v>1.3909069782779233</v>
      </c>
      <c r="F99" s="2"/>
    </row>
    <row r="100" spans="1:6" x14ac:dyDescent="0.2">
      <c r="A100">
        <v>168</v>
      </c>
      <c r="B100" s="1">
        <v>45891</v>
      </c>
      <c r="C100" s="1"/>
      <c r="D100" s="2">
        <v>31.68</v>
      </c>
      <c r="E100" s="2">
        <f t="shared" si="2"/>
        <v>1.3251314400214547</v>
      </c>
      <c r="F100" s="2"/>
    </row>
    <row r="101" spans="1:6" x14ac:dyDescent="0.2">
      <c r="A101">
        <v>169</v>
      </c>
      <c r="B101" s="1">
        <v>45894</v>
      </c>
      <c r="C101" s="1"/>
      <c r="D101" s="2">
        <v>30.95</v>
      </c>
      <c r="E101" s="2">
        <f t="shared" si="2"/>
        <v>1.374829686421801</v>
      </c>
      <c r="F101" s="2"/>
    </row>
    <row r="102" spans="1:6" x14ac:dyDescent="0.2">
      <c r="A102">
        <v>170</v>
      </c>
      <c r="B102" s="1">
        <v>45895</v>
      </c>
      <c r="C102" s="1"/>
      <c r="D102" s="2">
        <v>28.54</v>
      </c>
      <c r="E102" s="2">
        <f t="shared" si="2"/>
        <v>1.3973959909616016</v>
      </c>
      <c r="F102" s="2"/>
    </row>
    <row r="103" spans="1:6" x14ac:dyDescent="0.2">
      <c r="A103">
        <v>171</v>
      </c>
      <c r="B103" s="1">
        <v>45896</v>
      </c>
      <c r="C103" s="1"/>
      <c r="D103" s="2">
        <v>28.17</v>
      </c>
      <c r="E103" s="2">
        <f t="shared" si="2"/>
        <v>1.4594306347948776</v>
      </c>
      <c r="F103" s="2"/>
    </row>
    <row r="104" spans="1:6" x14ac:dyDescent="0.2">
      <c r="A104">
        <v>172</v>
      </c>
      <c r="B104" s="1">
        <v>45897</v>
      </c>
      <c r="C104" s="1"/>
      <c r="D104" s="2">
        <v>28.5</v>
      </c>
      <c r="E104" s="2">
        <f t="shared" si="2"/>
        <v>1.4723828004670225</v>
      </c>
      <c r="F104" s="2"/>
    </row>
    <row r="105" spans="1:6" x14ac:dyDescent="0.2">
      <c r="A105">
        <v>173</v>
      </c>
      <c r="B105" s="1">
        <v>45898</v>
      </c>
      <c r="C105" s="1"/>
      <c r="D105" s="2">
        <v>29.37</v>
      </c>
      <c r="E105" s="2">
        <f t="shared" si="2"/>
        <v>1.5107279334443013</v>
      </c>
      <c r="F105" s="2"/>
    </row>
    <row r="106" spans="1:6" x14ac:dyDescent="0.2">
      <c r="A106">
        <v>174</v>
      </c>
      <c r="B106" s="1">
        <v>45901</v>
      </c>
      <c r="C106" s="1"/>
      <c r="D106" s="2">
        <v>28.93</v>
      </c>
      <c r="E106" s="2">
        <f t="shared" si="2"/>
        <v>1.5057607896195051</v>
      </c>
      <c r="F106" s="2"/>
    </row>
    <row r="107" spans="1:6" x14ac:dyDescent="0.2">
      <c r="A107">
        <v>175</v>
      </c>
      <c r="B107" s="1">
        <v>45902</v>
      </c>
      <c r="C107" s="1"/>
      <c r="D107" s="2">
        <v>28.06</v>
      </c>
      <c r="E107" s="2">
        <f t="shared" ref="E107:E138" si="3">_xlfn.STDEV.S(D97:D106)</f>
        <v>1.4218751312576252</v>
      </c>
      <c r="F107" s="2"/>
    </row>
    <row r="108" spans="1:6" x14ac:dyDescent="0.2">
      <c r="A108">
        <v>176</v>
      </c>
      <c r="B108" s="1">
        <v>45903</v>
      </c>
      <c r="C108" s="1"/>
      <c r="D108" s="2">
        <v>28.19</v>
      </c>
      <c r="E108" s="2">
        <f t="shared" si="3"/>
        <v>1.2428569239189735</v>
      </c>
      <c r="F108" s="2"/>
    </row>
    <row r="109" spans="1:6" x14ac:dyDescent="0.2">
      <c r="A109">
        <v>177</v>
      </c>
      <c r="B109" s="1">
        <v>45904</v>
      </c>
      <c r="C109" s="1"/>
      <c r="D109" s="2">
        <v>31.25</v>
      </c>
      <c r="E109" s="2">
        <f t="shared" si="3"/>
        <v>1.2436617082006038</v>
      </c>
      <c r="F109" s="2"/>
    </row>
    <row r="110" spans="1:6" x14ac:dyDescent="0.2">
      <c r="A110">
        <v>178</v>
      </c>
      <c r="B110" s="1">
        <v>45905</v>
      </c>
      <c r="C110" s="1"/>
      <c r="D110" s="2">
        <v>29.61</v>
      </c>
      <c r="E110" s="2">
        <f t="shared" si="3"/>
        <v>1.3966006348750284</v>
      </c>
      <c r="F110" s="2"/>
    </row>
    <row r="111" spans="1:6" x14ac:dyDescent="0.2">
      <c r="A111">
        <v>179</v>
      </c>
      <c r="B111" s="1">
        <v>45908</v>
      </c>
      <c r="C111" s="1"/>
      <c r="D111" s="2">
        <v>28.35</v>
      </c>
      <c r="E111" s="2">
        <f t="shared" si="3"/>
        <v>1.1461340817432022</v>
      </c>
      <c r="F111" s="2"/>
    </row>
    <row r="112" spans="1:6" x14ac:dyDescent="0.2">
      <c r="A112">
        <v>180</v>
      </c>
      <c r="B112" s="1">
        <v>45909</v>
      </c>
      <c r="C112" s="1"/>
      <c r="D112" s="2">
        <v>29.81</v>
      </c>
      <c r="E112" s="2">
        <f t="shared" si="3"/>
        <v>0.97655915221648382</v>
      </c>
      <c r="F112" s="2"/>
    </row>
    <row r="113" spans="1:6" x14ac:dyDescent="0.2">
      <c r="A113">
        <v>181</v>
      </c>
      <c r="B113" s="1">
        <v>45910</v>
      </c>
      <c r="C113" s="1"/>
      <c r="D113" s="2">
        <v>31.93</v>
      </c>
      <c r="E113" s="2">
        <f t="shared" si="3"/>
        <v>1.0070771789909867</v>
      </c>
      <c r="F113" s="2"/>
    </row>
    <row r="114" spans="1:6" x14ac:dyDescent="0.2">
      <c r="A114">
        <v>182</v>
      </c>
      <c r="B114" s="1">
        <v>45911</v>
      </c>
      <c r="C114" s="1"/>
      <c r="D114" s="2">
        <v>31.37</v>
      </c>
      <c r="E114" s="2">
        <f t="shared" si="3"/>
        <v>1.3093509842666327</v>
      </c>
      <c r="F114" s="2"/>
    </row>
    <row r="115" spans="1:6" x14ac:dyDescent="0.2">
      <c r="A115">
        <v>183</v>
      </c>
      <c r="B115" s="1">
        <v>45912</v>
      </c>
      <c r="C115" s="1"/>
      <c r="D115" s="2">
        <v>29.82</v>
      </c>
      <c r="E115" s="2">
        <f t="shared" si="3"/>
        <v>1.4014599530489624</v>
      </c>
      <c r="F115" s="2"/>
    </row>
    <row r="116" spans="1:6" x14ac:dyDescent="0.2">
      <c r="A116">
        <v>184</v>
      </c>
      <c r="B116" s="1">
        <v>45915</v>
      </c>
      <c r="C116" s="1"/>
      <c r="D116" s="2">
        <v>28.51</v>
      </c>
      <c r="E116" s="2">
        <f t="shared" si="3"/>
        <v>1.3973689562889251</v>
      </c>
      <c r="F116" s="2"/>
    </row>
    <row r="117" spans="1:6" x14ac:dyDescent="0.2">
      <c r="A117">
        <v>185</v>
      </c>
      <c r="B117" s="1">
        <v>45916</v>
      </c>
      <c r="C117" s="1"/>
      <c r="D117" s="2">
        <v>30.82</v>
      </c>
      <c r="E117" s="2">
        <f t="shared" si="3"/>
        <v>1.4300815827544011</v>
      </c>
      <c r="F117" s="2"/>
    </row>
    <row r="118" spans="1:6" x14ac:dyDescent="0.2">
      <c r="A118">
        <v>186</v>
      </c>
      <c r="B118" s="1">
        <v>45917</v>
      </c>
      <c r="C118" s="1"/>
      <c r="D118" s="2">
        <v>29.65</v>
      </c>
      <c r="E118" s="2">
        <f t="shared" si="3"/>
        <v>1.3443065126674045</v>
      </c>
      <c r="F118" s="2"/>
    </row>
    <row r="119" spans="1:6" x14ac:dyDescent="0.2">
      <c r="A119">
        <v>187</v>
      </c>
      <c r="B119" s="1">
        <v>45918</v>
      </c>
      <c r="C119" s="1"/>
      <c r="D119" s="2">
        <v>30.38</v>
      </c>
      <c r="E119" s="2">
        <f t="shared" si="3"/>
        <v>1.2017098928887395</v>
      </c>
      <c r="F119" s="2"/>
    </row>
    <row r="120" spans="1:6" x14ac:dyDescent="0.2">
      <c r="A120">
        <v>188</v>
      </c>
      <c r="B120" s="1">
        <v>45919</v>
      </c>
      <c r="C120" s="1"/>
      <c r="D120" s="2">
        <v>30.61</v>
      </c>
      <c r="E120" s="2">
        <f t="shared" si="3"/>
        <v>1.140080406521107</v>
      </c>
      <c r="F120" s="2"/>
    </row>
    <row r="121" spans="1:6" x14ac:dyDescent="0.2">
      <c r="A121">
        <v>189</v>
      </c>
      <c r="B121" s="1">
        <v>45922</v>
      </c>
      <c r="C121" s="1"/>
      <c r="D121" s="2">
        <v>31.75</v>
      </c>
      <c r="E121" s="2">
        <f t="shared" si="3"/>
        <v>1.1434863843138274</v>
      </c>
      <c r="F121" s="2"/>
    </row>
    <row r="122" spans="1:6" x14ac:dyDescent="0.2">
      <c r="A122">
        <v>190</v>
      </c>
      <c r="B122" s="1">
        <v>45923</v>
      </c>
      <c r="C122" s="1"/>
      <c r="D122" s="2">
        <v>30.04</v>
      </c>
      <c r="E122" s="2">
        <f t="shared" si="3"/>
        <v>1.0594574082991726</v>
      </c>
      <c r="F122" s="2"/>
    </row>
    <row r="123" spans="1:6" x14ac:dyDescent="0.2">
      <c r="A123">
        <v>191</v>
      </c>
      <c r="B123" s="1">
        <v>45924</v>
      </c>
      <c r="C123" s="1"/>
      <c r="D123" s="2">
        <v>29.59</v>
      </c>
      <c r="E123" s="2">
        <f t="shared" si="3"/>
        <v>1.0460698935645851</v>
      </c>
      <c r="F123" s="2"/>
    </row>
    <row r="124" spans="1:6" x14ac:dyDescent="0.2">
      <c r="A124">
        <v>192</v>
      </c>
      <c r="B124" s="1">
        <v>45925</v>
      </c>
      <c r="C124" s="1"/>
      <c r="D124" s="2">
        <v>30.74</v>
      </c>
      <c r="E124" s="2">
        <f t="shared" si="3"/>
        <v>0.94444810456807105</v>
      </c>
      <c r="F124" s="2"/>
    </row>
    <row r="125" spans="1:6" x14ac:dyDescent="0.2">
      <c r="A125">
        <v>193</v>
      </c>
      <c r="B125" s="1">
        <v>45926</v>
      </c>
      <c r="C125" s="1"/>
      <c r="D125" s="2">
        <v>31.21</v>
      </c>
      <c r="E125" s="2">
        <f t="shared" si="3"/>
        <v>0.88058629459140558</v>
      </c>
      <c r="F125" s="2"/>
    </row>
    <row r="126" spans="1:6" x14ac:dyDescent="0.2">
      <c r="A126">
        <v>194</v>
      </c>
      <c r="B126" s="1">
        <v>45929</v>
      </c>
      <c r="C126" s="1"/>
      <c r="D126" s="2">
        <v>29.27</v>
      </c>
      <c r="E126" s="2">
        <f t="shared" si="3"/>
        <v>0.92414525072871756</v>
      </c>
      <c r="F126" s="2"/>
    </row>
    <row r="127" spans="1:6" x14ac:dyDescent="0.2">
      <c r="A127">
        <v>195</v>
      </c>
      <c r="B127" s="1">
        <v>45930</v>
      </c>
      <c r="C127" s="1"/>
      <c r="D127" s="2">
        <v>30.89</v>
      </c>
      <c r="E127" s="2">
        <f t="shared" si="3"/>
        <v>0.77744881932296173</v>
      </c>
      <c r="F127" s="2"/>
    </row>
    <row r="128" spans="1:6" x14ac:dyDescent="0.2">
      <c r="A128">
        <v>196</v>
      </c>
      <c r="B128" s="1">
        <v>45931</v>
      </c>
      <c r="C128" s="1"/>
      <c r="D128" s="2">
        <v>28</v>
      </c>
      <c r="E128" s="2">
        <f t="shared" si="3"/>
        <v>0.78189300205761347</v>
      </c>
      <c r="F128" s="2"/>
    </row>
    <row r="129" spans="1:6" x14ac:dyDescent="0.2">
      <c r="A129">
        <v>197</v>
      </c>
      <c r="B129" s="1">
        <v>45932</v>
      </c>
      <c r="C129" s="1"/>
      <c r="D129" s="2">
        <v>29.05</v>
      </c>
      <c r="E129" s="2">
        <f t="shared" si="3"/>
        <v>1.0785978552423203</v>
      </c>
      <c r="F129" s="2"/>
    </row>
    <row r="130" spans="1:6" x14ac:dyDescent="0.2">
      <c r="A130">
        <v>198</v>
      </c>
      <c r="B130" s="1">
        <v>45933</v>
      </c>
      <c r="C130" s="1"/>
      <c r="D130" s="2">
        <v>30.82</v>
      </c>
      <c r="E130" s="2">
        <f t="shared" si="3"/>
        <v>1.1407234546549834</v>
      </c>
      <c r="F130" s="2"/>
    </row>
    <row r="131" spans="1:6" x14ac:dyDescent="0.2">
      <c r="A131">
        <v>199</v>
      </c>
      <c r="B131" s="1">
        <v>45936</v>
      </c>
      <c r="C131" s="1"/>
      <c r="D131" s="2">
        <v>28.56</v>
      </c>
      <c r="E131" s="2">
        <f t="shared" si="3"/>
        <v>1.1527185259203567</v>
      </c>
      <c r="F131" s="2"/>
    </row>
    <row r="132" spans="1:6" x14ac:dyDescent="0.2">
      <c r="A132">
        <v>200</v>
      </c>
      <c r="B132" s="1">
        <v>45937</v>
      </c>
      <c r="C132" s="1"/>
      <c r="D132" s="2">
        <v>28.8</v>
      </c>
      <c r="E132" s="2">
        <f t="shared" si="3"/>
        <v>1.0964594535747019</v>
      </c>
      <c r="F132" s="2"/>
    </row>
    <row r="133" spans="1:6" x14ac:dyDescent="0.2">
      <c r="A133">
        <v>201</v>
      </c>
      <c r="B133" s="1">
        <v>45938</v>
      </c>
      <c r="C133" s="1"/>
      <c r="D133" s="2">
        <v>28.45</v>
      </c>
      <c r="E133" s="2">
        <f t="shared" si="3"/>
        <v>1.1377760959188961</v>
      </c>
      <c r="F133" s="2"/>
    </row>
    <row r="134" spans="1:6" x14ac:dyDescent="0.2">
      <c r="A134">
        <v>202</v>
      </c>
      <c r="B134" s="1">
        <v>45939</v>
      </c>
      <c r="C134" s="1"/>
      <c r="D134" s="2">
        <v>28.49</v>
      </c>
      <c r="E134" s="2">
        <f t="shared" si="3"/>
        <v>1.2044034945888267</v>
      </c>
      <c r="F134" s="2"/>
    </row>
    <row r="135" spans="1:6" x14ac:dyDescent="0.2">
      <c r="A135">
        <v>203</v>
      </c>
      <c r="B135" s="1">
        <v>45940</v>
      </c>
      <c r="C135" s="1"/>
      <c r="D135" s="2">
        <v>28.99</v>
      </c>
      <c r="E135" s="2">
        <f t="shared" si="3"/>
        <v>1.1731742316373042</v>
      </c>
      <c r="F135" s="2"/>
    </row>
    <row r="136" spans="1:6" x14ac:dyDescent="0.2">
      <c r="A136">
        <v>204</v>
      </c>
      <c r="B136" s="1">
        <v>45943</v>
      </c>
      <c r="C136" s="1"/>
      <c r="D136" s="2">
        <v>28.15</v>
      </c>
      <c r="E136" s="2">
        <f t="shared" si="3"/>
        <v>0.97649941685139363</v>
      </c>
      <c r="F136" s="2"/>
    </row>
    <row r="137" spans="1:6" x14ac:dyDescent="0.2">
      <c r="A137">
        <v>205</v>
      </c>
      <c r="B137" s="1">
        <v>45944</v>
      </c>
      <c r="C137" s="1"/>
      <c r="D137" s="2">
        <v>28.61</v>
      </c>
      <c r="E137" s="2">
        <f t="shared" si="3"/>
        <v>1.0220784923108621</v>
      </c>
      <c r="F137" s="2"/>
    </row>
    <row r="138" spans="1:6" x14ac:dyDescent="0.2">
      <c r="A138">
        <v>206</v>
      </c>
      <c r="B138" s="1">
        <v>45945</v>
      </c>
      <c r="C138" s="1"/>
      <c r="D138" s="2">
        <v>31.7</v>
      </c>
      <c r="E138" s="2">
        <f t="shared" si="3"/>
        <v>0.78550479169625587</v>
      </c>
      <c r="F138" s="2"/>
    </row>
    <row r="139" spans="1:6" x14ac:dyDescent="0.2">
      <c r="A139">
        <v>207</v>
      </c>
      <c r="B139" s="1">
        <v>45946</v>
      </c>
      <c r="C139" s="1"/>
      <c r="D139" s="2">
        <v>29.75</v>
      </c>
      <c r="E139" s="2">
        <f t="shared" ref="E139:E170" si="4">_xlfn.STDEV.S(D129:D138)</f>
        <v>1.1553431428704539</v>
      </c>
      <c r="F139" s="2"/>
    </row>
    <row r="140" spans="1:6" x14ac:dyDescent="0.2">
      <c r="A140">
        <v>208</v>
      </c>
      <c r="B140" s="1">
        <v>45947</v>
      </c>
      <c r="C140" s="1"/>
      <c r="D140" s="2">
        <v>29.03</v>
      </c>
      <c r="E140" s="2">
        <f t="shared" si="4"/>
        <v>1.1689292346226765</v>
      </c>
      <c r="F140" s="2"/>
    </row>
    <row r="141" spans="1:6" x14ac:dyDescent="0.2">
      <c r="A141">
        <v>209</v>
      </c>
      <c r="B141" s="1">
        <v>45950</v>
      </c>
      <c r="C141" s="1"/>
      <c r="D141" s="2">
        <v>29.21</v>
      </c>
      <c r="E141" s="2">
        <f t="shared" si="4"/>
        <v>1.0271973736553481</v>
      </c>
      <c r="F141" s="2"/>
    </row>
    <row r="142" spans="1:6" x14ac:dyDescent="0.2">
      <c r="A142">
        <v>210</v>
      </c>
      <c r="B142" s="1">
        <v>45951</v>
      </c>
      <c r="C142" s="1"/>
      <c r="D142" s="2">
        <v>29.56</v>
      </c>
      <c r="E142" s="2">
        <f t="shared" si="4"/>
        <v>1.0130021388592096</v>
      </c>
      <c r="F142" s="2"/>
    </row>
    <row r="143" spans="1:6" x14ac:dyDescent="0.2">
      <c r="A143">
        <v>211</v>
      </c>
      <c r="B143" s="1">
        <v>45952</v>
      </c>
      <c r="C143" s="1"/>
      <c r="D143" s="2">
        <v>29.83</v>
      </c>
      <c r="E143" s="2">
        <f t="shared" si="4"/>
        <v>1.0150008210177304</v>
      </c>
      <c r="F143" s="2"/>
    </row>
    <row r="144" spans="1:6" x14ac:dyDescent="0.2">
      <c r="A144">
        <v>212</v>
      </c>
      <c r="B144" s="1">
        <v>45953</v>
      </c>
      <c r="C144" s="1"/>
      <c r="D144" s="2">
        <v>30.25</v>
      </c>
      <c r="E144" s="2">
        <f t="shared" si="4"/>
        <v>0.99624628815703342</v>
      </c>
      <c r="F144" s="2"/>
    </row>
    <row r="145" spans="1:6" x14ac:dyDescent="0.2">
      <c r="A145">
        <v>213</v>
      </c>
      <c r="B145" s="1">
        <v>45954</v>
      </c>
      <c r="C145" s="1"/>
      <c r="D145" s="2">
        <v>31.78</v>
      </c>
      <c r="E145" s="2">
        <f t="shared" si="4"/>
        <v>0.98638284206037929</v>
      </c>
      <c r="F145" s="2"/>
    </row>
    <row r="146" spans="1:6" x14ac:dyDescent="0.2">
      <c r="A146">
        <v>214</v>
      </c>
      <c r="B146" s="1">
        <v>45957</v>
      </c>
      <c r="C146" s="1"/>
      <c r="D146" s="2">
        <v>28.66</v>
      </c>
      <c r="E146" s="2">
        <f t="shared" si="4"/>
        <v>1.1959101601337419</v>
      </c>
      <c r="F146" s="2"/>
    </row>
    <row r="147" spans="1:6" x14ac:dyDescent="0.2">
      <c r="A147">
        <v>215</v>
      </c>
      <c r="B147" s="1">
        <v>45958</v>
      </c>
      <c r="C147" s="1"/>
      <c r="D147" s="2">
        <v>30.48</v>
      </c>
      <c r="E147" s="2">
        <f t="shared" si="4"/>
        <v>1.1272463991712036</v>
      </c>
      <c r="F147" s="2"/>
    </row>
    <row r="148" spans="1:6" x14ac:dyDescent="0.2">
      <c r="A148">
        <v>216</v>
      </c>
      <c r="B148" s="1">
        <v>45959</v>
      </c>
      <c r="C148" s="1"/>
      <c r="D148" s="2">
        <v>28.96</v>
      </c>
      <c r="E148" s="2">
        <f t="shared" si="4"/>
        <v>1.0535996498776099</v>
      </c>
      <c r="F148" s="2"/>
    </row>
    <row r="149" spans="1:6" x14ac:dyDescent="0.2">
      <c r="A149">
        <v>217</v>
      </c>
      <c r="B149" s="1">
        <v>45960</v>
      </c>
      <c r="C149" s="1"/>
      <c r="D149" s="2">
        <v>29.72</v>
      </c>
      <c r="E149" s="2">
        <f t="shared" si="4"/>
        <v>0.91702962511215169</v>
      </c>
      <c r="F149" s="2"/>
    </row>
    <row r="150" spans="1:6" x14ac:dyDescent="0.2">
      <c r="A150">
        <v>218</v>
      </c>
      <c r="B150" s="1">
        <v>45961</v>
      </c>
      <c r="C150" s="1"/>
      <c r="D150" s="2">
        <v>30.39</v>
      </c>
      <c r="E150" s="2">
        <f t="shared" si="4"/>
        <v>0.91708233000096573</v>
      </c>
      <c r="F150" s="2"/>
    </row>
    <row r="151" spans="1:6" x14ac:dyDescent="0.2">
      <c r="A151">
        <v>219</v>
      </c>
      <c r="B151" s="1">
        <v>45964</v>
      </c>
      <c r="C151" s="1"/>
      <c r="D151" s="2">
        <v>29.31</v>
      </c>
      <c r="E151" s="2">
        <f t="shared" si="4"/>
        <v>0.89944674352873433</v>
      </c>
      <c r="F151" s="2"/>
    </row>
    <row r="152" spans="1:6" x14ac:dyDescent="0.2">
      <c r="A152">
        <v>220</v>
      </c>
      <c r="B152" s="1">
        <v>45965</v>
      </c>
      <c r="C152" s="1"/>
      <c r="D152" s="2">
        <v>28.59</v>
      </c>
      <c r="E152" s="2">
        <f t="shared" si="4"/>
        <v>0.89164267880506221</v>
      </c>
      <c r="F152" s="2"/>
    </row>
    <row r="153" spans="1:6" x14ac:dyDescent="0.2">
      <c r="A153">
        <v>221</v>
      </c>
      <c r="B153" s="1">
        <v>45966</v>
      </c>
      <c r="C153" s="1"/>
      <c r="D153" s="2">
        <v>30.82</v>
      </c>
      <c r="E153" s="2">
        <f t="shared" si="4"/>
        <v>0.98036331134035348</v>
      </c>
      <c r="F153" s="2"/>
    </row>
    <row r="154" spans="1:6" x14ac:dyDescent="0.2">
      <c r="A154">
        <v>222</v>
      </c>
      <c r="B154" s="1">
        <v>45967</v>
      </c>
      <c r="C154" s="1"/>
      <c r="D154" s="2">
        <v>30</v>
      </c>
      <c r="E154" s="2">
        <f t="shared" si="4"/>
        <v>1.0326578437324838</v>
      </c>
      <c r="F154" s="2"/>
    </row>
    <row r="155" spans="1:6" x14ac:dyDescent="0.2">
      <c r="A155">
        <v>223</v>
      </c>
      <c r="B155" s="1">
        <v>45968</v>
      </c>
      <c r="C155" s="1"/>
      <c r="D155" s="2">
        <v>30.99</v>
      </c>
      <c r="E155" s="2">
        <f t="shared" si="4"/>
        <v>1.0261410992429629</v>
      </c>
      <c r="F155" s="2"/>
    </row>
    <row r="156" spans="1:6" x14ac:dyDescent="0.2">
      <c r="A156">
        <v>224</v>
      </c>
      <c r="B156" s="1">
        <v>45971</v>
      </c>
      <c r="C156" s="1"/>
      <c r="D156" s="2">
        <v>29.61</v>
      </c>
      <c r="E156" s="2">
        <f t="shared" si="4"/>
        <v>0.88331194942670155</v>
      </c>
      <c r="F156" s="2"/>
    </row>
    <row r="157" spans="1:6" x14ac:dyDescent="0.2">
      <c r="A157">
        <v>225</v>
      </c>
      <c r="B157" s="1">
        <v>45972</v>
      </c>
      <c r="C157" s="1"/>
      <c r="D157" s="2">
        <v>28.98</v>
      </c>
      <c r="E157" s="2">
        <f t="shared" si="4"/>
        <v>0.79467743281297609</v>
      </c>
      <c r="F157" s="2"/>
    </row>
    <row r="158" spans="1:6" x14ac:dyDescent="0.2">
      <c r="A158">
        <v>226</v>
      </c>
      <c r="B158" s="1">
        <v>45973</v>
      </c>
      <c r="C158" s="1"/>
      <c r="D158" s="2">
        <v>30.64</v>
      </c>
      <c r="E158" s="2">
        <f t="shared" si="4"/>
        <v>0.81169301805273353</v>
      </c>
      <c r="F158" s="2"/>
    </row>
    <row r="159" spans="1:6" x14ac:dyDescent="0.2">
      <c r="A159">
        <v>227</v>
      </c>
      <c r="B159" s="1">
        <v>45974</v>
      </c>
      <c r="C159" s="1"/>
      <c r="D159" s="2">
        <v>30.63</v>
      </c>
      <c r="E159" s="2">
        <f t="shared" si="4"/>
        <v>0.80684915291246084</v>
      </c>
      <c r="F159" s="2"/>
    </row>
    <row r="160" spans="1:6" x14ac:dyDescent="0.2">
      <c r="A160">
        <v>228</v>
      </c>
      <c r="B160" s="1">
        <v>45975</v>
      </c>
      <c r="C160" s="1"/>
      <c r="D160" s="2">
        <v>30.59</v>
      </c>
      <c r="E160" s="2">
        <f t="shared" si="4"/>
        <v>0.83450850471666516</v>
      </c>
      <c r="F160" s="2"/>
    </row>
    <row r="161" spans="1:6" x14ac:dyDescent="0.2">
      <c r="A161">
        <v>229</v>
      </c>
      <c r="B161" s="1">
        <v>45978</v>
      </c>
      <c r="C161" s="1"/>
      <c r="D161" s="2">
        <v>29.25</v>
      </c>
      <c r="E161" s="2">
        <f t="shared" si="4"/>
        <v>0.8472989764867862</v>
      </c>
      <c r="F161" s="2"/>
    </row>
    <row r="162" spans="1:6" x14ac:dyDescent="0.2">
      <c r="A162">
        <v>230</v>
      </c>
      <c r="B162" s="1">
        <v>45979</v>
      </c>
      <c r="C162" s="1"/>
      <c r="D162" s="2">
        <v>31.62</v>
      </c>
      <c r="E162" s="2">
        <f t="shared" si="4"/>
        <v>0.85304682690277234</v>
      </c>
      <c r="F162" s="2"/>
    </row>
    <row r="163" spans="1:6" x14ac:dyDescent="0.2">
      <c r="A163">
        <v>231</v>
      </c>
      <c r="B163" s="1">
        <v>45980</v>
      </c>
      <c r="C163" s="1"/>
      <c r="D163" s="2">
        <v>29.07</v>
      </c>
      <c r="E163" s="2">
        <f t="shared" si="4"/>
        <v>0.83044900840181357</v>
      </c>
      <c r="F163" s="2"/>
    </row>
    <row r="164" spans="1:6" x14ac:dyDescent="0.2">
      <c r="A164">
        <v>232</v>
      </c>
      <c r="B164" s="1">
        <v>45981</v>
      </c>
      <c r="C164" s="1"/>
      <c r="D164" s="2">
        <v>28.31</v>
      </c>
      <c r="E164" s="2">
        <f t="shared" si="4"/>
        <v>0.89371633580733478</v>
      </c>
      <c r="F164" s="2"/>
    </row>
    <row r="165" spans="1:6" x14ac:dyDescent="0.2">
      <c r="A165">
        <v>233</v>
      </c>
      <c r="B165" s="1">
        <v>45982</v>
      </c>
      <c r="C165" s="1"/>
      <c r="D165" s="2">
        <v>28.31</v>
      </c>
      <c r="E165" s="2">
        <f t="shared" si="4"/>
        <v>1.0659106695945753</v>
      </c>
      <c r="F165" s="2"/>
    </row>
    <row r="166" spans="1:6" x14ac:dyDescent="0.2">
      <c r="A166">
        <v>234</v>
      </c>
      <c r="B166" s="1">
        <v>45985</v>
      </c>
      <c r="C166" s="1"/>
      <c r="D166" s="2">
        <v>31</v>
      </c>
      <c r="E166" s="2">
        <f t="shared" si="4"/>
        <v>1.116397479992379</v>
      </c>
      <c r="F166" s="2"/>
    </row>
    <row r="167" spans="1:6" x14ac:dyDescent="0.2">
      <c r="A167">
        <v>235</v>
      </c>
      <c r="B167" s="1">
        <v>45986</v>
      </c>
      <c r="C167" s="1"/>
      <c r="D167" s="2">
        <v>28.44</v>
      </c>
      <c r="E167" s="2">
        <f t="shared" si="4"/>
        <v>1.1880422738456933</v>
      </c>
      <c r="F167" s="2"/>
    </row>
    <row r="168" spans="1:6" x14ac:dyDescent="0.2">
      <c r="A168">
        <v>236</v>
      </c>
      <c r="B168" s="1">
        <v>45987</v>
      </c>
      <c r="C168" s="1"/>
      <c r="D168" s="2">
        <v>28.83</v>
      </c>
      <c r="E168" s="2">
        <f t="shared" si="4"/>
        <v>1.2424992734180753</v>
      </c>
      <c r="F168" s="2"/>
    </row>
    <row r="169" spans="1:6" x14ac:dyDescent="0.2">
      <c r="A169">
        <v>237</v>
      </c>
      <c r="B169" s="1">
        <v>45988</v>
      </c>
      <c r="C169" s="1"/>
      <c r="D169" s="2">
        <v>28.78</v>
      </c>
      <c r="E169" s="2">
        <f t="shared" si="4"/>
        <v>1.236089263227647</v>
      </c>
      <c r="F169" s="2"/>
    </row>
    <row r="170" spans="1:6" x14ac:dyDescent="0.2">
      <c r="A170">
        <v>238</v>
      </c>
      <c r="B170" s="1">
        <v>45989</v>
      </c>
      <c r="C170" s="1"/>
      <c r="D170" s="2">
        <v>28.56</v>
      </c>
      <c r="E170" s="2">
        <f t="shared" si="4"/>
        <v>1.2036518507349949</v>
      </c>
      <c r="F170" s="2"/>
    </row>
    <row r="171" spans="1:6" x14ac:dyDescent="0.2">
      <c r="A171">
        <v>239</v>
      </c>
      <c r="B171" s="1">
        <v>45992</v>
      </c>
      <c r="C171" s="1"/>
      <c r="D171" s="2">
        <v>30.26</v>
      </c>
      <c r="E171" s="2">
        <f t="shared" ref="E171:E202" si="5">_xlfn.STDEV.S(D161:D170)</f>
        <v>1.1545855437245778</v>
      </c>
      <c r="F171" s="2"/>
    </row>
    <row r="172" spans="1:6" x14ac:dyDescent="0.2">
      <c r="A172">
        <v>240</v>
      </c>
      <c r="B172" s="1">
        <v>45993</v>
      </c>
      <c r="C172" s="1"/>
      <c r="D172" s="2">
        <v>31.24</v>
      </c>
      <c r="E172" s="2">
        <f t="shared" si="5"/>
        <v>1.2010347390664626</v>
      </c>
      <c r="F172" s="2"/>
    </row>
    <row r="173" spans="1:6" x14ac:dyDescent="0.2">
      <c r="A173">
        <v>241</v>
      </c>
      <c r="B173" s="1">
        <v>45994</v>
      </c>
      <c r="C173" s="1"/>
      <c r="D173" s="2">
        <v>31.94</v>
      </c>
      <c r="E173" s="2">
        <f t="shared" si="5"/>
        <v>1.1236250857529542</v>
      </c>
      <c r="F173" s="2"/>
    </row>
    <row r="174" spans="1:6" x14ac:dyDescent="0.2">
      <c r="A174">
        <v>242</v>
      </c>
      <c r="B174" s="1">
        <v>45995</v>
      </c>
      <c r="C174" s="1"/>
      <c r="D174" s="2">
        <v>31.49</v>
      </c>
      <c r="E174" s="2">
        <f t="shared" si="5"/>
        <v>1.3972437153195576</v>
      </c>
      <c r="F174" s="2"/>
    </row>
    <row r="175" spans="1:6" x14ac:dyDescent="0.2">
      <c r="A175">
        <v>243</v>
      </c>
      <c r="B175" s="1">
        <v>45996</v>
      </c>
      <c r="C175" s="1"/>
      <c r="D175" s="2">
        <v>29.78</v>
      </c>
      <c r="E175" s="2">
        <f t="shared" si="5"/>
        <v>1.4405728027420204</v>
      </c>
      <c r="F175" s="2"/>
    </row>
    <row r="176" spans="1:6" x14ac:dyDescent="0.2">
      <c r="A176">
        <v>244</v>
      </c>
      <c r="B176" s="1">
        <v>45999</v>
      </c>
      <c r="C176" s="1"/>
      <c r="D176" s="2">
        <v>28.25</v>
      </c>
      <c r="E176" s="2">
        <f t="shared" si="5"/>
        <v>1.3329816202783893</v>
      </c>
      <c r="F176" s="2"/>
    </row>
    <row r="177" spans="1:6" x14ac:dyDescent="0.2">
      <c r="A177">
        <v>245</v>
      </c>
      <c r="B177" s="1">
        <v>46000</v>
      </c>
      <c r="C177" s="1"/>
      <c r="D177" s="2">
        <v>30.3</v>
      </c>
      <c r="E177" s="2">
        <f t="shared" si="5"/>
        <v>1.3933895522948507</v>
      </c>
      <c r="F177" s="2"/>
    </row>
    <row r="178" spans="1:6" x14ac:dyDescent="0.2">
      <c r="A178">
        <v>246</v>
      </c>
      <c r="B178" s="1">
        <v>46001</v>
      </c>
      <c r="C178" s="1"/>
      <c r="D178" s="2">
        <v>31.38</v>
      </c>
      <c r="E178" s="2">
        <f t="shared" si="5"/>
        <v>1.3202781693432808</v>
      </c>
      <c r="F178" s="2"/>
    </row>
    <row r="179" spans="1:6" x14ac:dyDescent="0.2">
      <c r="A179">
        <v>247</v>
      </c>
      <c r="B179" s="1">
        <v>46002</v>
      </c>
      <c r="C179" s="1"/>
      <c r="D179" s="2">
        <v>28.58</v>
      </c>
      <c r="E179" s="2">
        <f t="shared" si="5"/>
        <v>1.3276612687144427</v>
      </c>
      <c r="F179" s="2"/>
    </row>
    <row r="180" spans="1:6" x14ac:dyDescent="0.2">
      <c r="A180">
        <v>248</v>
      </c>
      <c r="B180" s="1">
        <v>46003</v>
      </c>
      <c r="C180" s="1"/>
      <c r="D180" s="2">
        <v>30.96</v>
      </c>
      <c r="E180" s="2">
        <f t="shared" si="5"/>
        <v>1.3526665023821163</v>
      </c>
      <c r="F180" s="2"/>
    </row>
    <row r="181" spans="1:6" x14ac:dyDescent="0.2">
      <c r="A181">
        <v>249</v>
      </c>
      <c r="B181" s="1">
        <v>46006</v>
      </c>
      <c r="C181" s="1"/>
      <c r="D181" s="2">
        <v>28.61</v>
      </c>
      <c r="E181" s="2">
        <f t="shared" si="5"/>
        <v>1.2420842698196179</v>
      </c>
      <c r="F181" s="2"/>
    </row>
    <row r="182" spans="1:6" x14ac:dyDescent="0.2">
      <c r="A182">
        <v>250</v>
      </c>
      <c r="B182" s="1">
        <v>46007</v>
      </c>
      <c r="C182" s="1"/>
      <c r="D182" s="2">
        <v>31.59</v>
      </c>
      <c r="E182" s="2">
        <f t="shared" si="5"/>
        <v>1.3685600705364258</v>
      </c>
      <c r="F182" s="2"/>
    </row>
    <row r="183" spans="1:6" x14ac:dyDescent="0.2">
      <c r="A183">
        <v>251</v>
      </c>
      <c r="B183" s="1">
        <v>46008</v>
      </c>
      <c r="C183" s="1"/>
      <c r="D183" s="2">
        <v>28.62</v>
      </c>
      <c r="E183" s="2">
        <f t="shared" si="5"/>
        <v>1.4007045846049531</v>
      </c>
      <c r="F183" s="2"/>
    </row>
    <row r="184" spans="1:6" x14ac:dyDescent="0.2">
      <c r="A184">
        <v>252</v>
      </c>
      <c r="B184" s="1">
        <v>46009</v>
      </c>
      <c r="C184" s="1"/>
      <c r="D184" s="2">
        <v>29.09</v>
      </c>
      <c r="E184" s="2">
        <f t="shared" si="5"/>
        <v>1.3584566406199516</v>
      </c>
      <c r="F184" s="2"/>
    </row>
    <row r="185" spans="1:6" x14ac:dyDescent="0.2">
      <c r="A185">
        <v>253</v>
      </c>
      <c r="B185" s="1">
        <v>46010</v>
      </c>
      <c r="C185" s="1"/>
      <c r="D185" s="2">
        <v>30.37</v>
      </c>
      <c r="E185" s="2">
        <f t="shared" si="5"/>
        <v>1.2662034240638869</v>
      </c>
      <c r="F185" s="2"/>
    </row>
    <row r="186" spans="1:6" x14ac:dyDescent="0.2">
      <c r="A186">
        <v>254</v>
      </c>
      <c r="B186" s="1">
        <v>46013</v>
      </c>
      <c r="C186" s="1"/>
      <c r="D186" s="2">
        <v>30.58</v>
      </c>
      <c r="E186" s="2">
        <f t="shared" si="5"/>
        <v>1.283149337459293</v>
      </c>
      <c r="F186" s="2"/>
    </row>
    <row r="187" spans="1:6" x14ac:dyDescent="0.2">
      <c r="A187">
        <v>255</v>
      </c>
      <c r="B187" s="1">
        <v>46014</v>
      </c>
      <c r="C187" s="1"/>
      <c r="D187" s="2">
        <v>31.2</v>
      </c>
      <c r="E187" s="2">
        <f t="shared" si="5"/>
        <v>1.1831107771933747</v>
      </c>
      <c r="F187" s="2"/>
    </row>
    <row r="188" spans="1:6" x14ac:dyDescent="0.2">
      <c r="A188">
        <v>256</v>
      </c>
      <c r="B188" s="1">
        <v>46015</v>
      </c>
      <c r="C188" s="1"/>
      <c r="D188" s="2">
        <v>29.39</v>
      </c>
      <c r="E188" s="2">
        <f t="shared" si="5"/>
        <v>1.2406252903722021</v>
      </c>
      <c r="F188" s="2"/>
    </row>
    <row r="189" spans="1:6" x14ac:dyDescent="0.2">
      <c r="A189">
        <v>257</v>
      </c>
      <c r="B189" s="1">
        <v>46016</v>
      </c>
      <c r="C189" s="1"/>
      <c r="D189" s="2">
        <v>28.27</v>
      </c>
      <c r="E189" s="2">
        <f t="shared" si="5"/>
        <v>1.1697145900698267</v>
      </c>
      <c r="F189" s="2"/>
    </row>
    <row r="190" spans="1:6" x14ac:dyDescent="0.2">
      <c r="A190">
        <v>258</v>
      </c>
      <c r="B190" s="1">
        <v>46017</v>
      </c>
      <c r="C190" s="1"/>
      <c r="D190" s="2">
        <v>31.08</v>
      </c>
      <c r="E190" s="2">
        <f t="shared" si="5"/>
        <v>1.211902086253946</v>
      </c>
      <c r="F190" s="2"/>
    </row>
    <row r="191" spans="1:6" x14ac:dyDescent="0.2">
      <c r="A191">
        <v>259</v>
      </c>
      <c r="B191" s="1">
        <v>46020</v>
      </c>
      <c r="C191" s="1"/>
      <c r="D191" s="2">
        <v>30.78</v>
      </c>
      <c r="E191" s="2">
        <f t="shared" si="5"/>
        <v>1.2244454527118249</v>
      </c>
      <c r="F191" s="2"/>
    </row>
    <row r="192" spans="1:6" x14ac:dyDescent="0.2">
      <c r="A192">
        <v>260</v>
      </c>
      <c r="B192" s="1">
        <v>46021</v>
      </c>
      <c r="C192" s="1"/>
      <c r="D192" s="2">
        <v>29.85</v>
      </c>
      <c r="E192" s="2">
        <f t="shared" si="5"/>
        <v>1.1652186251705916</v>
      </c>
      <c r="F192" s="2"/>
    </row>
    <row r="193" spans="1:6" x14ac:dyDescent="0.2">
      <c r="A193">
        <v>261</v>
      </c>
      <c r="B193" s="1">
        <v>46022</v>
      </c>
      <c r="C193" s="1"/>
      <c r="D193" s="2">
        <v>28.13</v>
      </c>
      <c r="E193" s="2">
        <f t="shared" si="5"/>
        <v>1.0407694802938401</v>
      </c>
      <c r="F1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Assay 1</vt:lpstr>
      <vt:lpstr>Sheet2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Robert-Jan ten Hove</dc:creator>
  <cp:lastModifiedBy>Rob ten Hove</cp:lastModifiedBy>
  <dcterms:created xsi:type="dcterms:W3CDTF">2025-12-18T10:50:29Z</dcterms:created>
  <dcterms:modified xsi:type="dcterms:W3CDTF">2026-02-17T14:43:29Z</dcterms:modified>
</cp:coreProperties>
</file>